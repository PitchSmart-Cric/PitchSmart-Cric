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dshah95\Desktop\PitchSmart - Cric\"/>
    </mc:Choice>
  </mc:AlternateContent>
  <xr:revisionPtr revIDLastSave="0" documentId="13_ncr:1_{8AE8A6A6-31FF-4B3C-A12F-2FFDE3434905}" xr6:coauthVersionLast="36" xr6:coauthVersionMax="36" xr10:uidLastSave="{00000000-0000-0000-0000-000000000000}"/>
  <bookViews>
    <workbookView xWindow="0" yWindow="0" windowWidth="16000" windowHeight="5870" activeTab="4" xr2:uid="{00000000-000D-0000-FFFF-FFFF00000000}"/>
  </bookViews>
  <sheets>
    <sheet name="PitchSmart" sheetId="7" r:id="rId1"/>
    <sheet name="Regular Season" sheetId="1" r:id="rId2"/>
    <sheet name="Analytics" sheetId="4" r:id="rId3"/>
    <sheet name="Dashboard" sheetId="6" r:id="rId4"/>
    <sheet name="Visualization" sheetId="2" r:id="rId5"/>
    <sheet name="Tables" sheetId="3" state="hidden" r:id="rId6"/>
  </sheets>
  <functionGroups builtInGroupCount="19"/>
  <externalReferences>
    <externalReference r:id="rId7"/>
  </externalReferences>
  <definedNames>
    <definedName name="_xlnm._FilterDatabase" localSheetId="5" hidden="1">Tables!$J$2:$Q$12</definedName>
    <definedName name="_xlchart.v2.0" hidden="1">Tables!$F$17:$F$26</definedName>
    <definedName name="_xlchart.v2.1" hidden="1">Tables!$G$16</definedName>
    <definedName name="_xlchart.v2.2" hidden="1">Tables!$G$17:$G$26</definedName>
  </definedNames>
  <calcPr calcId="191029"/>
  <extLst>
    <ext uri="GoogleSheetsCustomDataVersion2">
      <go:sheetsCustomData xmlns:go="http://customooxmlschemas.google.com/" r:id="rId8" roundtripDataChecksum="rvd74eXYE+GOpsj0n/mINM/jNFZOujnOEOFrTAEtxQU="/>
    </ext>
  </extLst>
</workbook>
</file>

<file path=xl/calcChain.xml><?xml version="1.0" encoding="utf-8"?>
<calcChain xmlns="http://schemas.openxmlformats.org/spreadsheetml/2006/main">
  <c r="B15" i="6" l="1"/>
  <c r="B7" i="6"/>
  <c r="B8" i="6"/>
  <c r="B9" i="6"/>
  <c r="B10" i="6"/>
  <c r="B11" i="6"/>
  <c r="B12" i="6"/>
  <c r="B13" i="6"/>
  <c r="B14" i="6"/>
  <c r="B6" i="6"/>
  <c r="B42" i="4" l="1"/>
  <c r="C42" i="4" s="1"/>
  <c r="B41" i="4"/>
  <c r="C41" i="4" s="1"/>
  <c r="B40" i="4"/>
  <c r="C40" i="4" s="1"/>
  <c r="B39" i="4"/>
  <c r="C39" i="4" s="1"/>
  <c r="B38" i="4"/>
  <c r="C38" i="4" s="1"/>
  <c r="B37" i="4"/>
  <c r="C37" i="4" s="1"/>
  <c r="B36" i="4"/>
  <c r="C36" i="4" s="1"/>
  <c r="B35" i="4"/>
  <c r="C35" i="4" s="1"/>
  <c r="B34" i="4"/>
  <c r="C34" i="4" s="1"/>
  <c r="B33" i="4"/>
  <c r="C33" i="4" s="1"/>
  <c r="I28" i="4"/>
  <c r="J28" i="4" s="1"/>
  <c r="I27" i="4"/>
  <c r="J27" i="4" s="1"/>
  <c r="I26" i="4"/>
  <c r="J26" i="4" s="1"/>
  <c r="I25" i="4"/>
  <c r="J25" i="4" s="1"/>
  <c r="I24" i="4"/>
  <c r="J24" i="4" s="1"/>
  <c r="I23" i="4"/>
  <c r="J23" i="4" s="1"/>
  <c r="I22" i="4"/>
  <c r="J22" i="4" s="1"/>
  <c r="I21" i="4"/>
  <c r="J21" i="4" s="1"/>
  <c r="I20" i="4"/>
  <c r="J20" i="4" s="1"/>
  <c r="I19" i="4"/>
  <c r="J19" i="4" s="1"/>
  <c r="D28" i="4"/>
  <c r="F28" i="4" s="1"/>
  <c r="D27" i="4"/>
  <c r="F27" i="4" s="1"/>
  <c r="D26" i="4"/>
  <c r="F26" i="4" s="1"/>
  <c r="D25" i="4"/>
  <c r="D24" i="4"/>
  <c r="F24" i="4" s="1"/>
  <c r="D23" i="4"/>
  <c r="F23" i="4" s="1"/>
  <c r="D22" i="4"/>
  <c r="F22" i="4" s="1"/>
  <c r="D21" i="4"/>
  <c r="F21" i="4" s="1"/>
  <c r="D20" i="4"/>
  <c r="F20" i="4" s="1"/>
  <c r="D19" i="4"/>
  <c r="F19" i="4" s="1"/>
  <c r="C28" i="4"/>
  <c r="C27" i="4"/>
  <c r="E27" i="4" s="1"/>
  <c r="C26" i="4"/>
  <c r="E26" i="4" s="1"/>
  <c r="C25" i="4"/>
  <c r="E25" i="4" s="1"/>
  <c r="C24" i="4"/>
  <c r="C23" i="4"/>
  <c r="C22" i="4"/>
  <c r="C21" i="4"/>
  <c r="C20" i="4"/>
  <c r="C19" i="4"/>
  <c r="E19" i="4" s="1"/>
  <c r="B28" i="4"/>
  <c r="K28" i="4" s="1"/>
  <c r="B27" i="4"/>
  <c r="K27" i="4" s="1"/>
  <c r="B26" i="4"/>
  <c r="K26" i="4" s="1"/>
  <c r="B25" i="4"/>
  <c r="K25" i="4" s="1"/>
  <c r="B24" i="4"/>
  <c r="K24" i="4" s="1"/>
  <c r="B23" i="4"/>
  <c r="K23" i="4" s="1"/>
  <c r="B22" i="4"/>
  <c r="K22" i="4" s="1"/>
  <c r="B21" i="4"/>
  <c r="K21" i="4" s="1"/>
  <c r="B20" i="4"/>
  <c r="K20" i="4" s="1"/>
  <c r="B19" i="4"/>
  <c r="K19" i="4" s="1"/>
  <c r="K14" i="4"/>
  <c r="K13" i="4"/>
  <c r="K12" i="4"/>
  <c r="K11" i="4"/>
  <c r="K10" i="4"/>
  <c r="K9" i="4"/>
  <c r="K8" i="4"/>
  <c r="K7" i="4"/>
  <c r="K6" i="4"/>
  <c r="K5" i="4"/>
  <c r="J14" i="4"/>
  <c r="J13" i="4"/>
  <c r="J12" i="4"/>
  <c r="J11" i="4"/>
  <c r="J10" i="4"/>
  <c r="J9" i="4"/>
  <c r="J8" i="4"/>
  <c r="J7" i="4"/>
  <c r="J6" i="4"/>
  <c r="J5" i="4"/>
  <c r="I14" i="4"/>
  <c r="I13" i="4"/>
  <c r="I12" i="4"/>
  <c r="I11" i="4"/>
  <c r="I10" i="4"/>
  <c r="I9" i="4"/>
  <c r="I8" i="4"/>
  <c r="I7" i="4"/>
  <c r="I6" i="4"/>
  <c r="I5" i="4"/>
  <c r="H14" i="4"/>
  <c r="H13" i="4"/>
  <c r="H12" i="4"/>
  <c r="H11" i="4"/>
  <c r="H10" i="4"/>
  <c r="H9" i="4"/>
  <c r="H8" i="4"/>
  <c r="H7" i="4"/>
  <c r="H6" i="4"/>
  <c r="H5" i="4"/>
  <c r="F14" i="4"/>
  <c r="C14" i="4"/>
  <c r="F13" i="4"/>
  <c r="C13" i="4"/>
  <c r="F12" i="4"/>
  <c r="C12" i="4"/>
  <c r="F11" i="4"/>
  <c r="C11" i="4"/>
  <c r="F10" i="4"/>
  <c r="C10" i="4"/>
  <c r="F9" i="4"/>
  <c r="C9" i="4"/>
  <c r="F8" i="4"/>
  <c r="C8" i="4"/>
  <c r="F7" i="4"/>
  <c r="C7" i="4"/>
  <c r="F6" i="4"/>
  <c r="C6" i="4"/>
  <c r="F5" i="4"/>
  <c r="C5" i="4"/>
  <c r="E5" i="4"/>
  <c r="E14" i="4"/>
  <c r="E13" i="4"/>
  <c r="G13" i="4" s="1"/>
  <c r="E12" i="4"/>
  <c r="E11" i="4"/>
  <c r="E10" i="4"/>
  <c r="E9" i="4"/>
  <c r="G9" i="4" s="1"/>
  <c r="E8" i="4"/>
  <c r="E7" i="4"/>
  <c r="E6" i="4"/>
  <c r="B14" i="4"/>
  <c r="B13" i="4"/>
  <c r="B12" i="4"/>
  <c r="B11" i="4"/>
  <c r="B10" i="4"/>
  <c r="B9" i="4"/>
  <c r="B8" i="4"/>
  <c r="B7" i="4"/>
  <c r="B6" i="4"/>
  <c r="B5" i="4"/>
  <c r="G6" i="4" l="1"/>
  <c r="G14" i="4"/>
  <c r="L20" i="4"/>
  <c r="L28" i="4"/>
  <c r="E28" i="4"/>
  <c r="G28" i="4" s="1"/>
  <c r="H28" i="4" s="1"/>
  <c r="L23" i="4"/>
  <c r="L24" i="4"/>
  <c r="G7" i="4"/>
  <c r="G5" i="4"/>
  <c r="D41" i="4"/>
  <c r="G10" i="4"/>
  <c r="D39" i="4"/>
  <c r="D40" i="4"/>
  <c r="G8" i="4"/>
  <c r="G26" i="4"/>
  <c r="H26" i="4" s="1"/>
  <c r="E20" i="4"/>
  <c r="G20" i="4" s="1"/>
  <c r="H20" i="4" s="1"/>
  <c r="D38" i="4"/>
  <c r="E23" i="4"/>
  <c r="G23" i="4" s="1"/>
  <c r="H23" i="4" s="1"/>
  <c r="G27" i="4"/>
  <c r="H27" i="4" s="1"/>
  <c r="L25" i="4"/>
  <c r="D37" i="4"/>
  <c r="D6" i="4"/>
  <c r="D10" i="4"/>
  <c r="D14" i="4"/>
  <c r="D36" i="4"/>
  <c r="G11" i="4"/>
  <c r="L21" i="4"/>
  <c r="D33" i="4"/>
  <c r="D35" i="4"/>
  <c r="G12" i="4"/>
  <c r="D7" i="4"/>
  <c r="L22" i="4"/>
  <c r="D42" i="4"/>
  <c r="D34" i="4"/>
  <c r="G19" i="4"/>
  <c r="H19" i="4" s="1"/>
  <c r="E24" i="4"/>
  <c r="G24" i="4" s="1"/>
  <c r="H24" i="4" s="1"/>
  <c r="L26" i="4"/>
  <c r="L19" i="4"/>
  <c r="E22" i="4"/>
  <c r="G22" i="4" s="1"/>
  <c r="H22" i="4" s="1"/>
  <c r="D11" i="4"/>
  <c r="F25" i="4"/>
  <c r="G25" i="4" s="1"/>
  <c r="H25" i="4" s="1"/>
  <c r="L27" i="4"/>
  <c r="D8" i="4"/>
  <c r="D12" i="4"/>
  <c r="E21" i="4"/>
  <c r="G21" i="4" s="1"/>
  <c r="H21" i="4" s="1"/>
  <c r="D5" i="4"/>
  <c r="D9" i="4"/>
  <c r="L9" i="4" s="1"/>
  <c r="D13" i="4"/>
  <c r="L13" i="4" s="1"/>
  <c r="BR19" i="1"/>
  <c r="BR18" i="1"/>
  <c r="BK19" i="1"/>
  <c r="BK18" i="1"/>
  <c r="U19" i="1"/>
  <c r="U18" i="1"/>
  <c r="N19" i="1"/>
  <c r="N18" i="1"/>
  <c r="BD19" i="1"/>
  <c r="BD18" i="1"/>
  <c r="AB19" i="1"/>
  <c r="AB18" i="1"/>
  <c r="AI19" i="1"/>
  <c r="AI18" i="1"/>
  <c r="AP19" i="1"/>
  <c r="AP18" i="1"/>
  <c r="AW19" i="1"/>
  <c r="AW18" i="1"/>
  <c r="G18" i="1"/>
  <c r="L6" i="4" l="1"/>
  <c r="G20" i="3"/>
  <c r="G42" i="6"/>
  <c r="G25" i="3"/>
  <c r="G37" i="6"/>
  <c r="G23" i="3"/>
  <c r="G40" i="6"/>
  <c r="G26" i="3"/>
  <c r="G43" i="6"/>
  <c r="G19" i="3"/>
  <c r="G36" i="6"/>
  <c r="L12" i="4"/>
  <c r="G21" i="3"/>
  <c r="G41" i="6"/>
  <c r="G24" i="3"/>
  <c r="G38" i="6"/>
  <c r="G18" i="3"/>
  <c r="G39" i="6"/>
  <c r="G22" i="3"/>
  <c r="G35" i="6"/>
  <c r="G19" i="1"/>
  <c r="G34" i="6"/>
  <c r="L14" i="4"/>
  <c r="L5" i="4"/>
  <c r="L8" i="4"/>
  <c r="L7" i="4"/>
  <c r="L10" i="4"/>
  <c r="L11" i="4"/>
  <c r="G17" i="3"/>
  <c r="C31" i="1"/>
  <c r="L9" i="6" s="1"/>
  <c r="C24" i="1"/>
  <c r="BH19" i="1"/>
  <c r="BI19" i="1"/>
  <c r="BJ19" i="1"/>
  <c r="BG19" i="1"/>
  <c r="AU19" i="1"/>
  <c r="AV19" i="1"/>
  <c r="AT19" i="1"/>
  <c r="AS19" i="1"/>
  <c r="D4" i="3" l="1"/>
  <c r="D5" i="3"/>
  <c r="D6" i="3"/>
  <c r="D7" i="3"/>
  <c r="D8" i="3"/>
  <c r="D9" i="3"/>
  <c r="D10" i="3"/>
  <c r="D11" i="3"/>
  <c r="D12" i="3"/>
  <c r="D3" i="3"/>
  <c r="B41" i="1"/>
  <c r="H20" i="6" l="1"/>
  <c r="J5" i="3"/>
  <c r="J6" i="3"/>
  <c r="J4" i="3"/>
  <c r="J8" i="3"/>
  <c r="J9" i="3"/>
  <c r="J7" i="3"/>
  <c r="J10" i="3"/>
  <c r="J11" i="3"/>
  <c r="J12" i="3"/>
  <c r="J3" i="3"/>
  <c r="X19" i="1" l="1"/>
  <c r="Z19" i="1"/>
  <c r="AA19" i="1"/>
  <c r="BQ19" i="1"/>
  <c r="BP19" i="1"/>
  <c r="BN19" i="1"/>
  <c r="AM19" i="1"/>
  <c r="Y19" i="1"/>
  <c r="BS19" i="1" l="1" a="1"/>
  <c r="BS19" i="1" s="1"/>
  <c r="BO19" i="1"/>
  <c r="BL19" i="1" a="1"/>
  <c r="BL19" i="1" s="1"/>
  <c r="BE19" i="1" a="1"/>
  <c r="BE19" i="1" s="1"/>
  <c r="BA19" i="1"/>
  <c r="AZ19" i="1"/>
  <c r="AX19" i="1" a="1"/>
  <c r="AX19" i="1" s="1"/>
  <c r="AQ19" i="1" a="1"/>
  <c r="AQ19" i="1" s="1"/>
  <c r="AJ19" i="1" a="1"/>
  <c r="AJ19" i="1" s="1"/>
  <c r="AF19" i="1"/>
  <c r="AC19" i="1" a="1"/>
  <c r="AC19" i="1" s="1"/>
  <c r="V19" i="1" a="1"/>
  <c r="V19" i="1" s="1"/>
  <c r="BW6" i="1" s="1"/>
  <c r="R19" i="1"/>
  <c r="Q19" i="1"/>
  <c r="O19" i="1" a="1"/>
  <c r="O19" i="1" s="1"/>
  <c r="K19" i="1"/>
  <c r="J19" i="1"/>
  <c r="H19" i="1" a="1"/>
  <c r="H19" i="1" s="1"/>
  <c r="C3" i="3" s="1"/>
  <c r="D19" i="1"/>
  <c r="C19" i="1"/>
  <c r="BS18" i="1" a="1"/>
  <c r="BS18" i="1" s="1"/>
  <c r="BO18" i="1"/>
  <c r="BN18" i="1"/>
  <c r="BL18" i="1" a="1"/>
  <c r="BL18" i="1" s="1"/>
  <c r="J42" i="6" s="1"/>
  <c r="K42" i="6" s="1"/>
  <c r="BH18" i="1"/>
  <c r="BG18" i="1"/>
  <c r="BE18" i="1" a="1"/>
  <c r="BE18" i="1" s="1"/>
  <c r="BA18" i="1"/>
  <c r="AZ18" i="1"/>
  <c r="AX18" i="1" a="1"/>
  <c r="AX18" i="1" s="1"/>
  <c r="AT18" i="1"/>
  <c r="AS18" i="1"/>
  <c r="AQ18" i="1" a="1"/>
  <c r="AQ18" i="1" s="1"/>
  <c r="AM18" i="1"/>
  <c r="AJ18" i="1" a="1"/>
  <c r="AJ18" i="1" s="1"/>
  <c r="J38" i="6" s="1"/>
  <c r="K38" i="6" s="1"/>
  <c r="AF18" i="1"/>
  <c r="AC18" i="1" a="1"/>
  <c r="AC18" i="1" s="1"/>
  <c r="Y18" i="1"/>
  <c r="X18" i="1"/>
  <c r="V18" i="1" a="1"/>
  <c r="V18" i="1" s="1"/>
  <c r="R18" i="1"/>
  <c r="Q18" i="1"/>
  <c r="O18" i="1" a="1"/>
  <c r="O18" i="1" s="1"/>
  <c r="K18" i="1"/>
  <c r="D35" i="6" s="1"/>
  <c r="J18" i="1"/>
  <c r="C35" i="6" s="1"/>
  <c r="H18" i="1" a="1"/>
  <c r="H18" i="1" s="1"/>
  <c r="J34" i="6" s="1"/>
  <c r="K34" i="6" s="1"/>
  <c r="D18" i="1"/>
  <c r="D34" i="6" s="1"/>
  <c r="C18" i="1"/>
  <c r="C34" i="6" s="1"/>
  <c r="F18" i="1"/>
  <c r="F34" i="6" s="1"/>
  <c r="AA18" i="1"/>
  <c r="T19" i="1"/>
  <c r="AE19" i="1"/>
  <c r="AL19" i="1"/>
  <c r="M19" i="1"/>
  <c r="L19" i="1"/>
  <c r="E18" i="1"/>
  <c r="E34" i="6" s="1"/>
  <c r="S19" i="1"/>
  <c r="AG19" i="1"/>
  <c r="AN19" i="1"/>
  <c r="BC19" i="1"/>
  <c r="BB19" i="1"/>
  <c r="AO19" i="1"/>
  <c r="AH19" i="1"/>
  <c r="B35" i="1"/>
  <c r="B40" i="1" a="1"/>
  <c r="B39" i="1" a="1"/>
  <c r="B38" i="1"/>
  <c r="B37" i="1"/>
  <c r="B36" i="1"/>
  <c r="J43" i="6" l="1"/>
  <c r="K43" i="6" s="1"/>
  <c r="J36" i="6"/>
  <c r="K36" i="6" s="1"/>
  <c r="J37" i="6"/>
  <c r="K37" i="6" s="1"/>
  <c r="BV20" i="1"/>
  <c r="C37" i="6"/>
  <c r="H37" i="6" s="1"/>
  <c r="BX23" i="1"/>
  <c r="D40" i="6"/>
  <c r="BV26" i="1"/>
  <c r="C43" i="6"/>
  <c r="H43" i="6" s="1"/>
  <c r="BX20" i="1"/>
  <c r="D37" i="6"/>
  <c r="J40" i="6"/>
  <c r="K40" i="6" s="1"/>
  <c r="BX26" i="1"/>
  <c r="D43" i="6"/>
  <c r="BV23" i="1"/>
  <c r="C40" i="6"/>
  <c r="H40" i="6" s="1"/>
  <c r="CA20" i="1"/>
  <c r="F37" i="6"/>
  <c r="BV25" i="1"/>
  <c r="C42" i="6"/>
  <c r="H42" i="6" s="1"/>
  <c r="J39" i="6"/>
  <c r="K39" i="6" s="1"/>
  <c r="BX25" i="1"/>
  <c r="D42" i="6"/>
  <c r="BV19" i="1"/>
  <c r="C36" i="6"/>
  <c r="BX19" i="1"/>
  <c r="D36" i="6"/>
  <c r="BX24" i="1"/>
  <c r="D41" i="6"/>
  <c r="BV24" i="1"/>
  <c r="C41" i="6"/>
  <c r="J41" i="6"/>
  <c r="K41" i="6" s="1"/>
  <c r="BX21" i="1"/>
  <c r="D38" i="6"/>
  <c r="BX22" i="1"/>
  <c r="D39" i="6"/>
  <c r="H35" i="6"/>
  <c r="J35" i="6"/>
  <c r="K35" i="6" s="1"/>
  <c r="I34" i="6"/>
  <c r="H34" i="6"/>
  <c r="H18" i="6"/>
  <c r="H19" i="6"/>
  <c r="BX18" i="1"/>
  <c r="C21" i="1"/>
  <c r="BV18" i="1"/>
  <c r="BV8" i="1"/>
  <c r="B7" i="3"/>
  <c r="BW8" i="1"/>
  <c r="C7" i="3"/>
  <c r="C8" i="3"/>
  <c r="BW9" i="1"/>
  <c r="B8" i="3"/>
  <c r="BV9" i="1"/>
  <c r="BV5" i="1"/>
  <c r="B4" i="3"/>
  <c r="BW5" i="1"/>
  <c r="C4" i="3"/>
  <c r="C9" i="3"/>
  <c r="BW10" i="1"/>
  <c r="B9" i="3"/>
  <c r="BV10" i="1"/>
  <c r="C11" i="3"/>
  <c r="BW12" i="1"/>
  <c r="B11" i="3"/>
  <c r="BV12" i="1"/>
  <c r="B5" i="3"/>
  <c r="BV6" i="1"/>
  <c r="C10" i="3"/>
  <c r="BW11" i="1"/>
  <c r="B10" i="3"/>
  <c r="BV11" i="1"/>
  <c r="B3" i="3"/>
  <c r="BV4" i="1"/>
  <c r="C5" i="3"/>
  <c r="BW4" i="1"/>
  <c r="C12" i="3"/>
  <c r="BW13" i="1"/>
  <c r="B12" i="3"/>
  <c r="BV13" i="1"/>
  <c r="B6" i="3"/>
  <c r="BV7" i="1"/>
  <c r="C6" i="3"/>
  <c r="BW7" i="1"/>
  <c r="C30" i="1"/>
  <c r="L6" i="6" s="1"/>
  <c r="BX17" i="1"/>
  <c r="B39" i="1"/>
  <c r="H21" i="6" s="1"/>
  <c r="B40" i="1"/>
  <c r="F19" i="1"/>
  <c r="CA17" i="1"/>
  <c r="BZ17" i="1"/>
  <c r="E19" i="1"/>
  <c r="T18" i="1"/>
  <c r="M18" i="1"/>
  <c r="F35" i="6" s="1"/>
  <c r="BQ18" i="1"/>
  <c r="AH18" i="1"/>
  <c r="F38" i="6" s="1"/>
  <c r="AO18" i="1"/>
  <c r="AG18" i="1"/>
  <c r="E38" i="6" s="1"/>
  <c r="BI18" i="1"/>
  <c r="BJ18" i="1"/>
  <c r="BV17" i="1"/>
  <c r="Z18" i="1"/>
  <c r="BB18" i="1"/>
  <c r="BC18" i="1"/>
  <c r="S18" i="1"/>
  <c r="AL18" i="1"/>
  <c r="AU18" i="1"/>
  <c r="AV18" i="1"/>
  <c r="L18" i="1"/>
  <c r="E35" i="6" s="1"/>
  <c r="AE18" i="1"/>
  <c r="AN18" i="1"/>
  <c r="BP18" i="1"/>
  <c r="BZ20" i="1" l="1"/>
  <c r="E37" i="6"/>
  <c r="I37" i="6" s="1"/>
  <c r="CA23" i="1"/>
  <c r="F40" i="6"/>
  <c r="CA25" i="1"/>
  <c r="F42" i="6"/>
  <c r="BZ23" i="1"/>
  <c r="E40" i="6"/>
  <c r="BZ25" i="1"/>
  <c r="E42" i="6"/>
  <c r="CA26" i="1"/>
  <c r="F43" i="6"/>
  <c r="BZ26" i="1"/>
  <c r="E43" i="6"/>
  <c r="CA19" i="1"/>
  <c r="F36" i="6"/>
  <c r="BZ19" i="1"/>
  <c r="E36" i="6"/>
  <c r="H36" i="6"/>
  <c r="CA24" i="1"/>
  <c r="F41" i="6"/>
  <c r="BZ24" i="1"/>
  <c r="E41" i="6"/>
  <c r="I41" i="6" s="1"/>
  <c r="H41" i="6"/>
  <c r="CA22" i="1"/>
  <c r="F39" i="6"/>
  <c r="BZ22" i="1"/>
  <c r="E39" i="6"/>
  <c r="BV21" i="1"/>
  <c r="C38" i="6"/>
  <c r="BV22" i="1"/>
  <c r="C39" i="6"/>
  <c r="I35" i="6"/>
  <c r="C26" i="1"/>
  <c r="L12" i="6"/>
  <c r="C20" i="1"/>
  <c r="CA18" i="1"/>
  <c r="C23" i="1"/>
  <c r="BZ18" i="1"/>
  <c r="C22" i="1"/>
  <c r="CA21" i="1"/>
  <c r="BZ21" i="1"/>
  <c r="C29" i="1"/>
  <c r="L5" i="6" s="1"/>
  <c r="C32" i="1"/>
  <c r="L7" i="6" s="1"/>
  <c r="C33" i="1"/>
  <c r="L8" i="6" s="1"/>
  <c r="I42" i="6" l="1"/>
  <c r="I43" i="6"/>
  <c r="I40" i="6"/>
  <c r="I36" i="6"/>
  <c r="I38" i="6"/>
  <c r="H38" i="6"/>
  <c r="I39" i="6"/>
  <c r="H39" i="6"/>
  <c r="C28" i="1"/>
  <c r="L14" i="6"/>
  <c r="C27" i="1"/>
  <c r="L13" i="6"/>
  <c r="C25" i="1"/>
  <c r="L11" i="6"/>
  <c r="C34" i="1"/>
  <c r="L10" i="6" s="1"/>
  <c r="BV31" i="1" l="1"/>
  <c r="G4" i="3" s="1"/>
  <c r="BV34" i="1"/>
  <c r="G7" i="3" s="1"/>
  <c r="BV30" i="1"/>
  <c r="G3" i="3" s="1"/>
  <c r="BV36" i="1"/>
  <c r="G9" i="3" s="1"/>
  <c r="BV32" i="1"/>
  <c r="G5" i="3" s="1"/>
  <c r="BV37" i="1"/>
  <c r="G10" i="3" s="1"/>
  <c r="BV35" i="1"/>
  <c r="G8" i="3" s="1"/>
  <c r="BV33" i="1"/>
  <c r="G6" i="3" s="1"/>
  <c r="BV38" i="1"/>
  <c r="G11" i="3" s="1"/>
  <c r="BV39" i="1"/>
  <c r="G12" i="3" s="1"/>
  <c r="H10" i="3" l="1"/>
  <c r="L38" i="6"/>
  <c r="H11" i="3"/>
  <c r="L37" i="6"/>
  <c r="H6" i="3"/>
  <c r="L42" i="6"/>
  <c r="H4" i="3"/>
  <c r="L39" i="6"/>
  <c r="H7" i="3"/>
  <c r="L41" i="6"/>
  <c r="H8" i="3"/>
  <c r="L35" i="6"/>
  <c r="L36" i="6"/>
  <c r="H5" i="3"/>
  <c r="H12" i="3"/>
  <c r="L43" i="6"/>
  <c r="H9" i="3"/>
  <c r="L40" i="6"/>
  <c r="H3" i="3"/>
  <c r="L34" i="6"/>
  <c r="K9" i="3" l="1"/>
  <c r="K8" i="3"/>
  <c r="K4" i="3"/>
  <c r="K5" i="3"/>
  <c r="K7" i="3"/>
  <c r="K6" i="3"/>
  <c r="K11" i="3"/>
  <c r="K12" i="3"/>
  <c r="K3" i="3"/>
  <c r="K10" i="3"/>
  <c r="J28" i="6" l="1"/>
  <c r="N12" i="3" a="1"/>
  <c r="N12" i="3" s="1"/>
  <c r="F15" i="6" s="1"/>
  <c r="L12" i="3" a="1"/>
  <c r="L12" i="3" s="1"/>
  <c r="D15" i="6" s="1"/>
  <c r="M12" i="3" a="1"/>
  <c r="M12" i="3" s="1"/>
  <c r="E15" i="6" s="1"/>
  <c r="P12" i="3" a="1"/>
  <c r="P12" i="3" s="1"/>
  <c r="C15" i="6"/>
  <c r="Q12" i="3"/>
  <c r="O12" i="3" a="1"/>
  <c r="O12" i="3" s="1"/>
  <c r="G15" i="6" s="1"/>
  <c r="J27" i="6"/>
  <c r="L11" i="3" a="1"/>
  <c r="L11" i="3" s="1"/>
  <c r="D14" i="6" s="1"/>
  <c r="N11" i="3" a="1"/>
  <c r="N11" i="3" s="1"/>
  <c r="F14" i="6" s="1"/>
  <c r="P11" i="3" a="1"/>
  <c r="P11" i="3" s="1"/>
  <c r="C14" i="6"/>
  <c r="Q11" i="3"/>
  <c r="M11" i="3" a="1"/>
  <c r="M11" i="3" s="1"/>
  <c r="E14" i="6" s="1"/>
  <c r="O11" i="3" a="1"/>
  <c r="O11" i="3" s="1"/>
  <c r="G14" i="6" s="1"/>
  <c r="J25" i="6"/>
  <c r="Q9" i="3"/>
  <c r="M9" i="3" a="1"/>
  <c r="M9" i="3" s="1"/>
  <c r="E12" i="6" s="1"/>
  <c r="C12" i="6"/>
  <c r="L9" i="3" a="1"/>
  <c r="L9" i="3" s="1"/>
  <c r="D12" i="6" s="1"/>
  <c r="O9" i="3" a="1"/>
  <c r="O9" i="3" s="1"/>
  <c r="G12" i="6" s="1"/>
  <c r="N9" i="3" a="1"/>
  <c r="N9" i="3" s="1"/>
  <c r="F12" i="6" s="1"/>
  <c r="P9" i="3" a="1"/>
  <c r="P9" i="3" s="1"/>
  <c r="J23" i="6"/>
  <c r="N7" i="3" a="1"/>
  <c r="N7" i="3" s="1"/>
  <c r="F10" i="6" s="1"/>
  <c r="P7" i="3" a="1"/>
  <c r="P7" i="3" s="1"/>
  <c r="C10" i="6"/>
  <c r="Q7" i="3"/>
  <c r="L7" i="3" a="1"/>
  <c r="L7" i="3" s="1"/>
  <c r="D10" i="6" s="1"/>
  <c r="O7" i="3" a="1"/>
  <c r="O7" i="3" s="1"/>
  <c r="G10" i="6" s="1"/>
  <c r="M7" i="3" a="1"/>
  <c r="M7" i="3" s="1"/>
  <c r="E10" i="6" s="1"/>
  <c r="J22" i="6"/>
  <c r="L6" i="3" a="1"/>
  <c r="L6" i="3" s="1"/>
  <c r="D9" i="6" s="1"/>
  <c r="M6" i="3" a="1"/>
  <c r="M6" i="3" s="1"/>
  <c r="E9" i="6" s="1"/>
  <c r="O6" i="3" a="1"/>
  <c r="O6" i="3" s="1"/>
  <c r="G9" i="6" s="1"/>
  <c r="N6" i="3" a="1"/>
  <c r="N6" i="3" s="1"/>
  <c r="F9" i="6" s="1"/>
  <c r="C9" i="6"/>
  <c r="Q6" i="3"/>
  <c r="P6" i="3" a="1"/>
  <c r="P6" i="3" s="1"/>
  <c r="J21" i="6"/>
  <c r="P5" i="3" a="1"/>
  <c r="P5" i="3" s="1"/>
  <c r="Q5" i="3"/>
  <c r="C8" i="6"/>
  <c r="N5" i="3" a="1"/>
  <c r="N5" i="3" s="1"/>
  <c r="F8" i="6" s="1"/>
  <c r="M5" i="3" a="1"/>
  <c r="M5" i="3" s="1"/>
  <c r="E8" i="6" s="1"/>
  <c r="L5" i="3" a="1"/>
  <c r="L5" i="3" s="1"/>
  <c r="D8" i="6" s="1"/>
  <c r="O5" i="3" a="1"/>
  <c r="O5" i="3" s="1"/>
  <c r="G8" i="6" s="1"/>
  <c r="J19" i="6"/>
  <c r="O3" i="3" a="1"/>
  <c r="O3" i="3" s="1"/>
  <c r="G6" i="6" s="1"/>
  <c r="C6" i="6"/>
  <c r="N3" i="3" a="1"/>
  <c r="N3" i="3" s="1"/>
  <c r="F6" i="6" s="1"/>
  <c r="L3" i="3" a="1"/>
  <c r="L3" i="3" s="1"/>
  <c r="D6" i="6" s="1"/>
  <c r="M3" i="3" a="1"/>
  <c r="M3" i="3" s="1"/>
  <c r="E6" i="6" s="1"/>
  <c r="P3" i="3" a="1"/>
  <c r="P3" i="3" s="1"/>
  <c r="Q3" i="3"/>
  <c r="J20" i="6"/>
  <c r="Q4" i="3"/>
  <c r="P4" i="3" a="1"/>
  <c r="P4" i="3" s="1"/>
  <c r="L4" i="3" a="1"/>
  <c r="L4" i="3" s="1"/>
  <c r="D7" i="6" s="1"/>
  <c r="M4" i="3" a="1"/>
  <c r="M4" i="3" s="1"/>
  <c r="E7" i="6" s="1"/>
  <c r="N4" i="3" a="1"/>
  <c r="N4" i="3" s="1"/>
  <c r="F7" i="6" s="1"/>
  <c r="O4" i="3" a="1"/>
  <c r="O4" i="3" s="1"/>
  <c r="G7" i="6" s="1"/>
  <c r="C7" i="6"/>
  <c r="J26" i="6"/>
  <c r="M10" i="3" a="1"/>
  <c r="M10" i="3" s="1"/>
  <c r="E13" i="6" s="1"/>
  <c r="C13" i="6"/>
  <c r="N10" i="3" a="1"/>
  <c r="N10" i="3" s="1"/>
  <c r="F13" i="6" s="1"/>
  <c r="Q10" i="3"/>
  <c r="L10" i="3" a="1"/>
  <c r="L10" i="3" s="1"/>
  <c r="D13" i="6" s="1"/>
  <c r="O10" i="3" a="1"/>
  <c r="O10" i="3" s="1"/>
  <c r="G13" i="6" s="1"/>
  <c r="P10" i="3" a="1"/>
  <c r="P10" i="3" s="1"/>
  <c r="J24" i="6"/>
  <c r="Q8" i="3"/>
  <c r="M8" i="3" a="1"/>
  <c r="M8" i="3" s="1"/>
  <c r="E11" i="6" s="1"/>
  <c r="L8" i="3" a="1"/>
  <c r="L8" i="3" s="1"/>
  <c r="D11" i="6" s="1"/>
  <c r="C11" i="6"/>
  <c r="O8" i="3" a="1"/>
  <c r="O8" i="3" s="1"/>
  <c r="G11" i="6" s="1"/>
  <c r="N8" i="3" a="1"/>
  <c r="N8" i="3" s="1"/>
  <c r="F11" i="6" s="1"/>
  <c r="P8" i="3" a="1"/>
  <c r="P8" i="3" s="1"/>
  <c r="H8" i="6" l="1"/>
  <c r="K21" i="6"/>
  <c r="L21" i="6"/>
  <c r="H13" i="6"/>
  <c r="K26" i="6"/>
  <c r="L26" i="6"/>
  <c r="H9" i="6"/>
  <c r="L22" i="6"/>
  <c r="K22" i="6"/>
  <c r="H12" i="6"/>
  <c r="L25" i="6"/>
  <c r="K25" i="6"/>
  <c r="H6" i="6"/>
  <c r="L19" i="6"/>
  <c r="K19" i="6"/>
  <c r="H10" i="6"/>
  <c r="K23" i="6"/>
  <c r="L23" i="6"/>
  <c r="K28" i="6"/>
  <c r="H15" i="6"/>
  <c r="L28" i="6"/>
  <c r="H11" i="6"/>
  <c r="K24" i="6"/>
  <c r="L24" i="6"/>
  <c r="H14" i="6"/>
  <c r="K27" i="6"/>
  <c r="L27" i="6"/>
  <c r="K20" i="6"/>
  <c r="L20" i="6"/>
  <c r="H7" i="6"/>
</calcChain>
</file>

<file path=xl/sharedStrings.xml><?xml version="1.0" encoding="utf-8"?>
<sst xmlns="http://schemas.openxmlformats.org/spreadsheetml/2006/main" count="637" uniqueCount="184">
  <si>
    <t>Matches</t>
  </si>
  <si>
    <t>Chennai Super Kings (CSK)</t>
  </si>
  <si>
    <t>Mumbai Indians (MI)</t>
  </si>
  <si>
    <t>Gujarat Titans (GT)</t>
  </si>
  <si>
    <t>Royal Challengers Bangalore (RCB)</t>
  </si>
  <si>
    <t>Rajasthan Royals (RR)</t>
  </si>
  <si>
    <t>Delhi Capitals (DC)</t>
  </si>
  <si>
    <t>Punjab Kings (PBKS)</t>
  </si>
  <si>
    <t>Lucknow Super Giants (LSG)</t>
  </si>
  <si>
    <t>Kolkata Knight Riders (KKR)</t>
  </si>
  <si>
    <t>Sunrisers Hyderabad (SRH)</t>
  </si>
  <si>
    <t>Opponent</t>
  </si>
  <si>
    <t>Runs Scored</t>
  </si>
  <si>
    <t>Wickets Taken</t>
  </si>
  <si>
    <t xml:space="preserve">4's </t>
  </si>
  <si>
    <t>6's</t>
  </si>
  <si>
    <t>Result</t>
  </si>
  <si>
    <t>4's</t>
  </si>
  <si>
    <t>Team</t>
  </si>
  <si>
    <t>Win</t>
  </si>
  <si>
    <t>Loss</t>
  </si>
  <si>
    <t>Match #</t>
  </si>
  <si>
    <t>CSK</t>
  </si>
  <si>
    <t>MI</t>
  </si>
  <si>
    <t>GT</t>
  </si>
  <si>
    <t>RCB</t>
  </si>
  <si>
    <t>RR</t>
  </si>
  <si>
    <t>DC</t>
  </si>
  <si>
    <t>PBKS</t>
  </si>
  <si>
    <t>LSG</t>
  </si>
  <si>
    <t>KKR</t>
  </si>
  <si>
    <t>SRH</t>
  </si>
  <si>
    <t>Match 1</t>
  </si>
  <si>
    <t>RR - Away</t>
  </si>
  <si>
    <t>CSK - Away</t>
  </si>
  <si>
    <t>PBKS - Home</t>
  </si>
  <si>
    <t>KKR - Away</t>
  </si>
  <si>
    <t>SRH - Away</t>
  </si>
  <si>
    <t>LSG - Home</t>
  </si>
  <si>
    <t>GT - Away</t>
  </si>
  <si>
    <t>DC - Away</t>
  </si>
  <si>
    <t>RR - Home</t>
  </si>
  <si>
    <t>Match 2</t>
  </si>
  <si>
    <t>RCB - Home</t>
  </si>
  <si>
    <t>MI - Home</t>
  </si>
  <si>
    <t>SRH - Home</t>
  </si>
  <si>
    <t>LSG - Away</t>
  </si>
  <si>
    <t>Match 3</t>
  </si>
  <si>
    <t>RCB - Away</t>
  </si>
  <si>
    <t>GT - Home</t>
  </si>
  <si>
    <t>CSK - Home</t>
  </si>
  <si>
    <t>MI - Away</t>
  </si>
  <si>
    <t>Match 4</t>
  </si>
  <si>
    <t>DC - Home</t>
  </si>
  <si>
    <t>PBKS - Away</t>
  </si>
  <si>
    <t>Match 5</t>
  </si>
  <si>
    <t>Match 6</t>
  </si>
  <si>
    <t>Match 7</t>
  </si>
  <si>
    <t>Match 8</t>
  </si>
  <si>
    <t>Match 9</t>
  </si>
  <si>
    <t>Match 10</t>
  </si>
  <si>
    <t>Match 11</t>
  </si>
  <si>
    <t>RCB - AWAY</t>
  </si>
  <si>
    <t>Match 12</t>
  </si>
  <si>
    <t>Match 13</t>
  </si>
  <si>
    <t>Runs</t>
  </si>
  <si>
    <t>Team2</t>
  </si>
  <si>
    <t>Wickets</t>
  </si>
  <si>
    <t>Match 14</t>
  </si>
  <si>
    <t>Total Runs, Wickets &amp; Boundries - Individual</t>
  </si>
  <si>
    <t>Avg. Runs, Wickets &amp; Boundries - Individual</t>
  </si>
  <si>
    <t>Avg. Runs per Game</t>
  </si>
  <si>
    <t xml:space="preserve"> </t>
  </si>
  <si>
    <t>Avg. Wickets per Game</t>
  </si>
  <si>
    <t>Avg. 4's per Game</t>
  </si>
  <si>
    <t>Avg. 6's per Game</t>
  </si>
  <si>
    <t>Avg. Runs per Inning</t>
  </si>
  <si>
    <t>Avg. Wickets per Inning</t>
  </si>
  <si>
    <t>Avg. 4's per Inning</t>
  </si>
  <si>
    <t>Avg. 6's per Inning</t>
  </si>
  <si>
    <t>Total Runs Combined</t>
  </si>
  <si>
    <t xml:space="preserve">Total Wickets Combined </t>
  </si>
  <si>
    <t>Total 4's Combined</t>
  </si>
  <si>
    <t>Total 6's Combined</t>
  </si>
  <si>
    <t>Chasing Win</t>
  </si>
  <si>
    <t>Chasing Loose</t>
  </si>
  <si>
    <t>Bat First Win</t>
  </si>
  <si>
    <t>Bat First Loose</t>
  </si>
  <si>
    <t>Super-Over Win</t>
  </si>
  <si>
    <t xml:space="preserve">Super-Over Loss </t>
  </si>
  <si>
    <t>Rain Washout (NR)</t>
  </si>
  <si>
    <t>KRR - Home</t>
  </si>
  <si>
    <t>KKR - Home</t>
  </si>
  <si>
    <t>SRH - AWAY</t>
  </si>
  <si>
    <t>CSH - Home</t>
  </si>
  <si>
    <t>IPL Teams Runs &amp; Wickets - 2026 (Regular Season)</t>
  </si>
  <si>
    <t>NRR</t>
  </si>
  <si>
    <t>Total</t>
  </si>
  <si>
    <t>Average</t>
  </si>
  <si>
    <t>tblwl</t>
  </si>
  <si>
    <t>tblNRR</t>
  </si>
  <si>
    <t>Rank</t>
  </si>
  <si>
    <t xml:space="preserve">Played </t>
  </si>
  <si>
    <t xml:space="preserve">Loss </t>
  </si>
  <si>
    <t>Points</t>
  </si>
  <si>
    <t>Standings</t>
  </si>
  <si>
    <t>NR</t>
  </si>
  <si>
    <t>-</t>
  </si>
  <si>
    <t>Extras (WD/NB)</t>
  </si>
  <si>
    <t>Avg. Extras per Game</t>
  </si>
  <si>
    <t>Total Extras</t>
  </si>
  <si>
    <t>Extras</t>
  </si>
  <si>
    <t>Count</t>
  </si>
  <si>
    <t>Runs from Boundries</t>
  </si>
  <si>
    <t>SortKey</t>
  </si>
  <si>
    <t>IPL 2026 — Team Analytics &amp; Performance Report</t>
  </si>
  <si>
    <t>HOME vs AWAY PERFORMANCE SPLITS</t>
  </si>
  <si>
    <t>TEAM</t>
  </si>
  <si>
    <t>HOME WINS</t>
  </si>
  <si>
    <t>HOME LOSSES</t>
  </si>
  <si>
    <t>HOME WIN %</t>
  </si>
  <si>
    <t>AWAY WIN</t>
  </si>
  <si>
    <t>AWAY LOSSES</t>
  </si>
  <si>
    <t>AWAY WIN %</t>
  </si>
  <si>
    <t>HOME AVG. RUNS</t>
  </si>
  <si>
    <t>AWAY AVG RUNS</t>
  </si>
  <si>
    <t>HOME AVG WKTS</t>
  </si>
  <si>
    <t>AWAY AVG WKTS</t>
  </si>
  <si>
    <t>BEST VENUE</t>
  </si>
  <si>
    <t>BOUNDARY &amp; SCORING ANALYSIS</t>
  </si>
  <si>
    <t>Total Runs</t>
  </si>
  <si>
    <t>TOTAL RUNS</t>
  </si>
  <si>
    <t>TOTAL 4s</t>
  </si>
  <si>
    <t>TOTAL 6s</t>
  </si>
  <si>
    <t>RUNS from 4s</t>
  </si>
  <si>
    <t>RUNS from 6s</t>
  </si>
  <si>
    <t>BOUNDARY RUNS</t>
  </si>
  <si>
    <t>BOUNDARY %</t>
  </si>
  <si>
    <t>EXTRAS</t>
  </si>
  <si>
    <t>EXTRAS/GAME</t>
  </si>
  <si>
    <t>AVG RUNS GAME</t>
  </si>
  <si>
    <t>FORM GUIDE — LAST 5 MATCHES</t>
  </si>
  <si>
    <t>FORM (W)</t>
  </si>
  <si>
    <t>PTS GAINED</t>
  </si>
  <si>
    <t>TREND</t>
  </si>
  <si>
    <t>🏏  IPL 2026  |  LIVE SEASON DASHBOARD</t>
  </si>
  <si>
    <t>📊 POINTS TABLE</t>
  </si>
  <si>
    <t>P</t>
  </si>
  <si>
    <t>W</t>
  </si>
  <si>
    <t>L</t>
  </si>
  <si>
    <t>📈 SEASON STATISTICS</t>
  </si>
  <si>
    <t>Total Wickets</t>
  </si>
  <si>
    <t>Total 4's</t>
  </si>
  <si>
    <t>Total 6's</t>
  </si>
  <si>
    <t>Boundary Runs</t>
  </si>
  <si>
    <t>Avg Runs/Game</t>
  </si>
  <si>
    <t>Avg Wickets/Game</t>
  </si>
  <si>
    <t>Avg 4's/Game</t>
  </si>
  <si>
    <t>Avg 6's/Game</t>
  </si>
  <si>
    <t>🎯 MATCH OUTCOMES</t>
  </si>
  <si>
    <t>🏏 Bat First Wins</t>
  </si>
  <si>
    <t>🏃 Chasing Wins</t>
  </si>
  <si>
    <t>🌧️ Rain Washouts</t>
  </si>
  <si>
    <t>⚡ Super Over Wins</t>
  </si>
  <si>
    <t>🎪 PLAYOFF PREDICTOR</t>
  </si>
  <si>
    <t>Projected Points</t>
  </si>
  <si>
    <t>🏆 TEAM PERFORMANCE OVERVIEW</t>
  </si>
  <si>
    <t>Avg. Runs</t>
  </si>
  <si>
    <t>Boundary %</t>
  </si>
  <si>
    <t>Win %</t>
  </si>
  <si>
    <t>Form</t>
  </si>
  <si>
    <t>🤖  IPL 2026  |  PitchSmart</t>
  </si>
  <si>
    <t>Ask your question to PitchSmart below:</t>
  </si>
  <si>
    <t xml:space="preserve">Your Question: </t>
  </si>
  <si>
    <t xml:space="preserve">4/21/2026 11:26:57 PM — Q: How many games will KKR win this season? </t>
  </si>
  <si>
    <t>4/23/2026 2:25:43 PM — Q: Who is better between CSK &amp; MI?</t>
  </si>
  <si>
    <t>4/26/2026 10:03:34 AM — Q: Compare runs scored by CSK in Boundaries versus GT</t>
  </si>
  <si>
    <t>STRIKE RATE</t>
  </si>
  <si>
    <t xml:space="preserve">4/30/2026 6:26:38 PM — Q: At this half-way stage in the tournament compare the performances of each team and possibility of each team making playoffs. </t>
  </si>
  <si>
    <t xml:space="preserve">5/1/2026 2:52:12 PM — Q: Compare DC &amp; GT's performance so far. </t>
  </si>
  <si>
    <t xml:space="preserve">5/1/2026 2:55:02 PM — Q: Compare DC &amp; GT's performance so far. </t>
  </si>
  <si>
    <t>Who will be IPL 2026 winner?</t>
  </si>
  <si>
    <t>Alright, let's dive into this! The IPL 2026 season is heating up, and we've got a fantastic race at the top. While PBKS holds the current pole position, my pick for the IPL 2026 winner, looking at the pure firepower and potential for dominance in the crucial games, is **Sunrisers Hyderabad (SRH)**.
Here's why:
1.  **Unmatched Batting Explosivity:** SRH has amassed a staggering 2097 runs, far ahead of any other team. Their 117 sixes and 180 fours are league-leading, indicating an aggressive, high-scoring approach that can absolutely blow teams away. In high-pressure playoff encounters, this kind of batting depth and power-hitting is often the differentiator.
2.  **Despite More Games, Still Strong:** While they've played more matches (10) than PBKS (8) or RCB (9), they've still maintained a strong position (Rank 3) with a respectable NRR. This shows their ability to win consistently even after more exposure.
3.  **Peak at the Right Time:** With that kind of run-scoring ability, if they can fine-tune their bowling even slightly, SRH becomes incredibly difficult to stop, especially on pitches that favor big scores. They have the capability to set or chase any target.
While PBKS are leading the pack and RCB boasts an incredible NRR, SRH's sheer volume of runs and boundaries makes them the most formidable threat to go all the way and lift the trophy. They are a batting juggernaut!</t>
  </si>
  <si>
    <t>5/3/2026 3:08:59 PM — Q: Who will be IPL 2026 winner?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</si>
</sst>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
    <numFmt numFmtId="165" formatCode="0.0%"/>
    <numFmt numFmtId="166" formatCode="0.0"/>
  </numFmts>
  <fonts count="39">
    <font>
      <sz val="10"/>
      <color rgb="FF000000"/>
      <name val="Arial"/>
      <scheme val="minor"/>
    </font>
    <font>
      <sz val="10"/>
      <color rgb="FF000000"/>
      <name val="Arial"/>
      <family val="2"/>
    </font>
    <font>
      <b/>
      <sz val="10"/>
      <color theme="0"/>
      <name val="Play"/>
    </font>
    <font>
      <b/>
      <sz val="10"/>
      <color rgb="FFFFFFFF"/>
      <name val="Arial"/>
      <family val="2"/>
    </font>
    <font>
      <b/>
      <i/>
      <sz val="10"/>
      <color theme="0"/>
      <name val="Arial"/>
      <family val="2"/>
    </font>
    <font>
      <b/>
      <sz val="10"/>
      <color rgb="FF000000"/>
      <name val="Arial"/>
      <family val="2"/>
    </font>
    <font>
      <b/>
      <i/>
      <sz val="10"/>
      <color theme="1"/>
      <name val="Play"/>
    </font>
    <font>
      <b/>
      <sz val="10"/>
      <color theme="0"/>
      <name val="Arial"/>
      <family val="2"/>
    </font>
    <font>
      <sz val="10"/>
      <color theme="1"/>
      <name val="Arial"/>
      <family val="2"/>
    </font>
    <font>
      <b/>
      <sz val="10"/>
      <color theme="1"/>
      <name val="Arial"/>
      <family val="2"/>
    </font>
    <font>
      <u/>
      <sz val="10"/>
      <color theme="10"/>
      <name val="Arial"/>
      <family val="2"/>
    </font>
    <font>
      <b/>
      <sz val="12"/>
      <color theme="0"/>
      <name val="Bahnschrift"/>
      <family val="2"/>
    </font>
    <font>
      <sz val="10"/>
      <name val="Bahnschrift"/>
      <family val="2"/>
    </font>
    <font>
      <b/>
      <i/>
      <sz val="10"/>
      <color theme="0"/>
      <name val="Bahnschrift"/>
      <family val="2"/>
    </font>
    <font>
      <b/>
      <sz val="10"/>
      <color theme="1"/>
      <name val="Bahnschrift"/>
      <family val="2"/>
    </font>
    <font>
      <b/>
      <sz val="10"/>
      <color rgb="FFFFFFFF"/>
      <name val="Bahnschrift"/>
      <family val="2"/>
    </font>
    <font>
      <b/>
      <sz val="10"/>
      <color theme="0"/>
      <name val="Bahnschrift"/>
      <family val="2"/>
    </font>
    <font>
      <b/>
      <i/>
      <sz val="10"/>
      <color theme="1"/>
      <name val="Bahnschrift"/>
      <family val="2"/>
    </font>
    <font>
      <sz val="10"/>
      <color theme="1"/>
      <name val="Bahnschrift"/>
      <family val="2"/>
    </font>
    <font>
      <sz val="10"/>
      <color rgb="FFFFFFFF"/>
      <name val="Bahnschrift"/>
      <family val="2"/>
    </font>
    <font>
      <sz val="10"/>
      <color theme="0"/>
      <name val="Bahnschrift"/>
      <family val="2"/>
    </font>
    <font>
      <b/>
      <sz val="10"/>
      <color rgb="FF000000"/>
      <name val="Bahnschrift"/>
      <family val="2"/>
    </font>
    <font>
      <sz val="10"/>
      <color rgb="FF000000"/>
      <name val="Bahnschrift"/>
      <family val="2"/>
    </font>
    <font>
      <i/>
      <sz val="10"/>
      <color theme="1"/>
      <name val="Bahnschrift"/>
      <family val="2"/>
    </font>
    <font>
      <sz val="10"/>
      <color rgb="FF000000"/>
      <name val="Arial"/>
      <family val="2"/>
      <scheme val="minor"/>
    </font>
    <font>
      <b/>
      <sz val="11"/>
      <color theme="0"/>
      <name val="Arial"/>
      <family val="2"/>
      <scheme val="minor"/>
    </font>
    <font>
      <b/>
      <sz val="14"/>
      <color theme="0"/>
      <name val="Arial"/>
      <family val="2"/>
      <scheme val="minor"/>
    </font>
    <font>
      <b/>
      <sz val="9"/>
      <color theme="0"/>
      <name val="Arial"/>
      <family val="2"/>
      <scheme val="minor"/>
    </font>
    <font>
      <b/>
      <sz val="10"/>
      <color rgb="FF000000"/>
      <name val="Arial"/>
      <family val="2"/>
      <scheme val="minor"/>
    </font>
    <font>
      <sz val="10"/>
      <color rgb="FF000000"/>
      <name val="Arial Unicode MS"/>
    </font>
    <font>
      <b/>
      <sz val="18"/>
      <color theme="0"/>
      <name val="Arial"/>
      <family val="2"/>
      <scheme val="minor"/>
    </font>
    <font>
      <b/>
      <sz val="10"/>
      <color theme="0"/>
      <name val="Arial"/>
      <family val="2"/>
      <scheme val="minor"/>
    </font>
    <font>
      <sz val="11"/>
      <color rgb="FF000000"/>
      <name val="Arial"/>
      <family val="2"/>
      <scheme val="minor"/>
    </font>
    <font>
      <b/>
      <sz val="12"/>
      <color theme="0"/>
      <name val="Arial"/>
      <family val="2"/>
      <scheme val="minor"/>
    </font>
    <font>
      <b/>
      <sz val="11"/>
      <color rgb="FF000000"/>
      <name val="Arial"/>
      <family val="2"/>
      <scheme val="minor"/>
    </font>
    <font>
      <b/>
      <sz val="18"/>
      <color theme="2"/>
      <name val="Arial"/>
      <family val="2"/>
      <scheme val="minor"/>
    </font>
    <font>
      <b/>
      <sz val="11"/>
      <color theme="2"/>
      <name val="Arial"/>
      <family val="2"/>
      <scheme val="minor"/>
    </font>
    <font>
      <b/>
      <sz val="10"/>
      <color rgb="FF1C235D"/>
      <name val="Arial"/>
      <family val="2"/>
      <scheme val="minor"/>
    </font>
    <font>
      <i/>
      <sz val="8"/>
      <color rgb="FF969696"/>
      <name val="Arial"/>
      <family val="2"/>
      <scheme val="minor"/>
    </font>
  </fonts>
  <fills count="67">
    <fill>
      <patternFill patternType="none"/>
    </fill>
    <fill>
      <patternFill patternType="gray125"/>
    </fill>
    <fill>
      <patternFill patternType="solid">
        <fgColor rgb="FFC05100"/>
        <bgColor rgb="FFC05100"/>
      </patternFill>
    </fill>
    <fill>
      <patternFill patternType="solid">
        <fgColor rgb="FF425170"/>
        <bgColor rgb="FF425170"/>
      </patternFill>
    </fill>
    <fill>
      <patternFill patternType="solid">
        <fgColor rgb="FFFFFF00"/>
        <bgColor rgb="FFFFFF00"/>
      </patternFill>
    </fill>
    <fill>
      <patternFill patternType="solid">
        <fgColor rgb="FF004B8D"/>
        <bgColor rgb="FF004B8D"/>
      </patternFill>
    </fill>
    <fill>
      <patternFill patternType="solid">
        <fgColor rgb="FFDBBE6E"/>
        <bgColor rgb="FFDBBE6E"/>
      </patternFill>
    </fill>
    <fill>
      <patternFill patternType="solid">
        <fgColor theme="1"/>
        <bgColor theme="1"/>
      </patternFill>
    </fill>
    <fill>
      <patternFill patternType="solid">
        <fgColor rgb="FFFFCCFF"/>
        <bgColor rgb="FFFFCCFF"/>
      </patternFill>
    </fill>
    <fill>
      <patternFill patternType="solid">
        <fgColor rgb="FFD71921"/>
        <bgColor rgb="FFD71921"/>
      </patternFill>
    </fill>
    <fill>
      <patternFill patternType="solid">
        <fgColor rgb="FFF2D1A0"/>
        <bgColor rgb="FFF2D1A0"/>
      </patternFill>
    </fill>
    <fill>
      <patternFill patternType="solid">
        <fgColor rgb="FF7BAFD4"/>
        <bgColor rgb="FF7BAFD4"/>
      </patternFill>
    </fill>
    <fill>
      <patternFill patternType="solid">
        <fgColor rgb="FF3A225D"/>
        <bgColor rgb="FF3A225D"/>
      </patternFill>
    </fill>
    <fill>
      <patternFill patternType="solid">
        <fgColor rgb="FFEE7429"/>
        <bgColor rgb="FFEE7429"/>
      </patternFill>
    </fill>
    <fill>
      <patternFill patternType="solid">
        <fgColor rgb="FF2F9299"/>
        <bgColor rgb="FF2F9299"/>
      </patternFill>
    </fill>
    <fill>
      <patternFill patternType="solid">
        <fgColor rgb="FFD5D6D0"/>
        <bgColor rgb="FFD5D6D0"/>
      </patternFill>
    </fill>
    <fill>
      <patternFill patternType="solid">
        <fgColor rgb="FFD5A6BD"/>
        <bgColor rgb="FFD5A6BD"/>
      </patternFill>
    </fill>
    <fill>
      <patternFill patternType="solid">
        <fgColor rgb="FF32A6DE"/>
        <bgColor rgb="FF32A6DE"/>
      </patternFill>
    </fill>
    <fill>
      <patternFill patternType="solid">
        <fgColor rgb="FFE9530D"/>
        <bgColor rgb="FFE9530D"/>
      </patternFill>
    </fill>
    <fill>
      <patternFill patternType="solid">
        <fgColor rgb="FFA6E3B6"/>
        <bgColor rgb="FFA6E3B6"/>
      </patternFill>
    </fill>
    <fill>
      <patternFill patternType="solid">
        <fgColor rgb="FFB6D7A8"/>
        <bgColor rgb="FFB6D7A8"/>
      </patternFill>
    </fill>
    <fill>
      <patternFill patternType="solid">
        <fgColor rgb="FF87CEEB"/>
        <bgColor rgb="FF87CEEB"/>
      </patternFill>
    </fill>
    <fill>
      <patternFill patternType="solid">
        <fgColor rgb="FFFF0000"/>
        <bgColor rgb="FFFF0000"/>
      </patternFill>
    </fill>
    <fill>
      <patternFill patternType="solid">
        <fgColor rgb="FF8E7CC3"/>
        <bgColor rgb="FF8E7CC3"/>
      </patternFill>
    </fill>
    <fill>
      <patternFill patternType="solid">
        <fgColor rgb="FF1B2133"/>
        <bgColor rgb="FF1B2133"/>
      </patternFill>
    </fill>
    <fill>
      <patternFill patternType="solid">
        <fgColor rgb="FFE5B582"/>
        <bgColor rgb="FFE5B582"/>
      </patternFill>
    </fill>
    <fill>
      <patternFill patternType="solid">
        <fgColor rgb="FFD1AB3E"/>
        <bgColor rgb="FFD1AB3E"/>
      </patternFill>
    </fill>
    <fill>
      <patternFill patternType="solid">
        <fgColor rgb="FF632B72"/>
        <bgColor rgb="FF632B72"/>
      </patternFill>
    </fill>
    <fill>
      <patternFill patternType="solid">
        <fgColor rgb="FFC3A11F"/>
        <bgColor rgb="FFC3A11F"/>
      </patternFill>
    </fill>
    <fill>
      <patternFill patternType="solid">
        <fgColor rgb="FF282968"/>
        <bgColor rgb="FF282968"/>
      </patternFill>
    </fill>
    <fill>
      <patternFill patternType="solid">
        <fgColor rgb="FF2561AE"/>
        <bgColor rgb="FF2561AE"/>
      </patternFill>
    </fill>
    <fill>
      <patternFill patternType="solid">
        <fgColor rgb="FFFFE599"/>
        <bgColor rgb="FFFFE599"/>
      </patternFill>
    </fill>
    <fill>
      <patternFill patternType="solid">
        <fgColor rgb="FFF15559"/>
        <bgColor rgb="FFF15559"/>
      </patternFill>
    </fill>
    <fill>
      <patternFill patternType="solid">
        <fgColor rgb="FF81BC00"/>
        <bgColor rgb="FF81BC00"/>
      </patternFill>
    </fill>
    <fill>
      <patternFill patternType="solid">
        <fgColor rgb="FFFFDD53"/>
        <bgColor rgb="FFFFDD53"/>
      </patternFill>
    </fill>
    <fill>
      <patternFill patternType="solid">
        <fgColor rgb="FFF2C028"/>
        <bgColor rgb="FFF2C028"/>
      </patternFill>
    </fill>
    <fill>
      <patternFill patternType="solid">
        <fgColor rgb="FF64517C"/>
        <bgColor rgb="FF64517C"/>
      </patternFill>
    </fill>
    <fill>
      <patternFill patternType="solid">
        <fgColor rgb="FFB02528"/>
        <bgColor rgb="FFB02528"/>
      </patternFill>
    </fill>
    <fill>
      <patternFill patternType="solid">
        <fgColor rgb="FF221F21"/>
        <bgColor rgb="FF221F21"/>
      </patternFill>
    </fill>
    <fill>
      <patternFill patternType="solid">
        <fgColor theme="9"/>
        <bgColor theme="9"/>
      </patternFill>
    </fill>
    <fill>
      <patternFill patternType="solid">
        <fgColor rgb="FF021B3A"/>
        <bgColor rgb="FF021B3A"/>
      </patternFill>
    </fill>
    <fill>
      <patternFill patternType="solid">
        <fgColor rgb="FF005C5C"/>
        <bgColor rgb="FF005C5C"/>
      </patternFill>
    </fill>
    <fill>
      <patternFill patternType="solid">
        <fgColor rgb="FFAE0B2C"/>
        <bgColor rgb="FFAE0B2C"/>
      </patternFill>
    </fill>
    <fill>
      <patternFill patternType="solid">
        <fgColor rgb="FFA7A9AC"/>
        <bgColor rgb="FFF2D1A0"/>
      </patternFill>
    </fill>
    <fill>
      <patternFill patternType="solid">
        <fgColor rgb="FFA7A9AC"/>
        <bgColor indexed="64"/>
      </patternFill>
    </fill>
    <fill>
      <patternFill patternType="solid">
        <fgColor rgb="FF004BA0"/>
        <bgColor rgb="FF004B8D"/>
      </patternFill>
    </fill>
    <fill>
      <patternFill patternType="solid">
        <fgColor rgb="FF004BA0"/>
        <bgColor indexed="64"/>
      </patternFill>
    </fill>
    <fill>
      <patternFill patternType="solid">
        <fgColor rgb="FFD1AB3E"/>
        <bgColor rgb="FF151E3D"/>
      </patternFill>
    </fill>
    <fill>
      <patternFill patternType="solid">
        <fgColor rgb="FF425170"/>
        <bgColor indexed="64"/>
      </patternFill>
    </fill>
    <fill>
      <patternFill patternType="solid">
        <fgColor theme="6" tint="-0.249977111117893"/>
        <bgColor indexed="64"/>
      </patternFill>
    </fill>
    <fill>
      <patternFill patternType="solid">
        <fgColor rgb="FFD1AB3E"/>
        <bgColor indexed="64"/>
      </patternFill>
    </fill>
    <fill>
      <patternFill patternType="solid">
        <fgColor theme="9" tint="-0.249977111117893"/>
        <bgColor theme="9" tint="-0.249977111117893"/>
      </patternFill>
    </fill>
    <fill>
      <patternFill patternType="solid">
        <fgColor rgb="FF1A2954"/>
        <bgColor rgb="FF8C411E"/>
      </patternFill>
    </fill>
    <fill>
      <patternFill patternType="solid">
        <fgColor rgb="FF0D47A1"/>
        <bgColor indexed="64"/>
      </patternFill>
    </fill>
    <fill>
      <patternFill patternType="solid">
        <fgColor rgb="FF0D47C8"/>
        <bgColor indexed="64"/>
      </patternFill>
    </fill>
    <fill>
      <patternFill patternType="solid">
        <fgColor rgb="FF000050"/>
        <bgColor indexed="64"/>
      </patternFill>
    </fill>
    <fill>
      <patternFill patternType="solid">
        <fgColor rgb="FF1C235D"/>
        <bgColor indexed="64"/>
      </patternFill>
    </fill>
    <fill>
      <patternFill patternType="solid">
        <fgColor rgb="FFE8EAF6"/>
        <bgColor indexed="64"/>
      </patternFill>
    </fill>
    <fill>
      <patternFill patternType="solid">
        <fgColor rgb="FFFFF9C4"/>
        <bgColor indexed="64"/>
      </patternFill>
    </fill>
    <fill>
      <patternFill patternType="solid">
        <fgColor rgb="FFF5F5F5"/>
        <bgColor indexed="64"/>
      </patternFill>
    </fill>
    <fill>
      <patternFill patternType="solid">
        <fgColor rgb="FFFBE9E7"/>
        <bgColor indexed="64"/>
      </patternFill>
    </fill>
    <fill>
      <patternFill patternType="solid">
        <fgColor rgb="FFFFEBEE"/>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s>
  <borders count="24">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24" fillId="0" borderId="0" applyFont="0" applyFill="0" applyBorder="0" applyAlignment="0" applyProtection="0"/>
  </cellStyleXfs>
  <cellXfs count="205">
    <xf numFmtId="0" fontId="0" fillId="0" borderId="0" xfId="0" applyFont="1" applyAlignment="1"/>
    <xf numFmtId="0" fontId="5" fillId="0" borderId="0" xfId="0" applyFont="1" applyAlignment="1">
      <alignment horizontal="center" vertical="center"/>
    </xf>
    <xf numFmtId="0" fontId="6" fillId="0" borderId="0" xfId="0" applyFont="1" applyAlignment="1">
      <alignment horizontal="center" vertical="center"/>
    </xf>
    <xf numFmtId="0" fontId="9" fillId="0" borderId="0" xfId="0" applyFont="1" applyAlignment="1">
      <alignment horizontal="center" vertical="center"/>
    </xf>
    <xf numFmtId="0" fontId="1" fillId="0" borderId="0" xfId="0" applyFont="1" applyAlignment="1">
      <alignment horizontal="center" vertical="center"/>
    </xf>
    <xf numFmtId="0" fontId="8" fillId="0" borderId="0" xfId="0" applyFont="1" applyAlignment="1">
      <alignment horizontal="center" vertical="center"/>
    </xf>
    <xf numFmtId="0" fontId="0" fillId="48" borderId="0" xfId="0" applyFont="1" applyFill="1" applyAlignment="1"/>
    <xf numFmtId="0" fontId="0" fillId="49" borderId="0" xfId="0" applyFont="1" applyFill="1" applyAlignment="1"/>
    <xf numFmtId="0" fontId="0" fillId="50" borderId="0" xfId="0" applyFont="1" applyFill="1" applyAlignment="1"/>
    <xf numFmtId="0" fontId="0" fillId="0" borderId="0" xfId="0" applyFont="1" applyAlignment="1">
      <alignment vertical="center"/>
    </xf>
    <xf numFmtId="0" fontId="3" fillId="0" borderId="0" xfId="0" applyFont="1" applyAlignment="1">
      <alignment horizontal="center" vertical="center"/>
    </xf>
    <xf numFmtId="0" fontId="4" fillId="0" borderId="0" xfId="0" applyFont="1" applyAlignment="1">
      <alignment horizontal="center" vertical="center"/>
    </xf>
    <xf numFmtId="0" fontId="7" fillId="0" borderId="0" xfId="0" applyFont="1" applyAlignment="1">
      <alignment horizontal="center" vertical="center"/>
    </xf>
    <xf numFmtId="0" fontId="1" fillId="0" borderId="0" xfId="0" applyFont="1" applyAlignment="1">
      <alignment vertical="center"/>
    </xf>
    <xf numFmtId="0" fontId="4" fillId="0" borderId="0" xfId="0" applyFont="1" applyAlignment="1">
      <alignment vertical="center"/>
    </xf>
    <xf numFmtId="0" fontId="7" fillId="0" borderId="0" xfId="0" applyFont="1" applyAlignment="1">
      <alignment vertical="center"/>
    </xf>
    <xf numFmtId="0" fontId="2" fillId="0" borderId="0" xfId="0" applyFont="1" applyAlignment="1">
      <alignment horizontal="center" vertical="center"/>
    </xf>
    <xf numFmtId="0" fontId="10" fillId="0" borderId="0" xfId="0" applyFont="1" applyAlignment="1">
      <alignment vertical="center"/>
    </xf>
    <xf numFmtId="0" fontId="2" fillId="0" borderId="5" xfId="0" applyFont="1" applyBorder="1" applyAlignment="1">
      <alignment horizontal="center" vertical="center"/>
    </xf>
    <xf numFmtId="0" fontId="13" fillId="3" borderId="4" xfId="0" applyFont="1" applyFill="1" applyBorder="1" applyAlignment="1">
      <alignment horizontal="center" vertical="center"/>
    </xf>
    <xf numFmtId="0" fontId="13" fillId="14" borderId="5" xfId="0" applyFont="1" applyFill="1" applyBorder="1" applyAlignment="1">
      <alignment horizontal="center" vertical="center"/>
    </xf>
    <xf numFmtId="0" fontId="17" fillId="15" borderId="4" xfId="0" applyFont="1" applyFill="1" applyBorder="1" applyAlignment="1">
      <alignment horizontal="center" vertical="center"/>
    </xf>
    <xf numFmtId="0" fontId="18" fillId="8" borderId="4" xfId="0" applyFont="1" applyFill="1" applyBorder="1" applyAlignment="1">
      <alignment horizontal="center" vertical="center"/>
    </xf>
    <xf numFmtId="0" fontId="14" fillId="20" borderId="4" xfId="0" applyFont="1" applyFill="1" applyBorder="1" applyAlignment="1">
      <alignment horizontal="center" vertical="center"/>
    </xf>
    <xf numFmtId="0" fontId="14" fillId="4" borderId="4" xfId="0" applyFont="1" applyFill="1" applyBorder="1" applyAlignment="1">
      <alignment horizontal="center" vertical="center"/>
    </xf>
    <xf numFmtId="0" fontId="14" fillId="17" borderId="4" xfId="0" applyFont="1" applyFill="1" applyBorder="1" applyAlignment="1">
      <alignment horizontal="center" vertical="center"/>
    </xf>
    <xf numFmtId="0" fontId="14" fillId="18" borderId="4" xfId="0" applyFont="1" applyFill="1" applyBorder="1" applyAlignment="1">
      <alignment horizontal="center" vertical="center"/>
    </xf>
    <xf numFmtId="0" fontId="16" fillId="22" borderId="4" xfId="0" applyFont="1" applyFill="1" applyBorder="1" applyAlignment="1">
      <alignment horizontal="center" vertical="center"/>
    </xf>
    <xf numFmtId="0" fontId="19" fillId="45" borderId="4" xfId="0" applyFont="1" applyFill="1" applyBorder="1" applyAlignment="1">
      <alignment horizontal="center" vertical="center"/>
    </xf>
    <xf numFmtId="0" fontId="16" fillId="16" borderId="4" xfId="0" applyFont="1" applyFill="1" applyBorder="1" applyAlignment="1">
      <alignment horizontal="center" vertical="center"/>
    </xf>
    <xf numFmtId="0" fontId="15" fillId="45" borderId="4" xfId="0" applyFont="1" applyFill="1" applyBorder="1" applyAlignment="1">
      <alignment horizontal="center" vertical="center"/>
    </xf>
    <xf numFmtId="0" fontId="16" fillId="47" borderId="4" xfId="0" applyFont="1" applyFill="1" applyBorder="1" applyAlignment="1">
      <alignment horizontal="center" vertical="center"/>
    </xf>
    <xf numFmtId="0" fontId="14" fillId="21" borderId="4" xfId="0" applyFont="1" applyFill="1" applyBorder="1" applyAlignment="1">
      <alignment horizontal="center" vertical="center"/>
    </xf>
    <xf numFmtId="0" fontId="14" fillId="19" borderId="4" xfId="0" applyFont="1" applyFill="1" applyBorder="1" applyAlignment="1">
      <alignment horizontal="center" vertical="center"/>
    </xf>
    <xf numFmtId="0" fontId="14" fillId="43" borderId="4" xfId="0" applyFont="1" applyFill="1" applyBorder="1" applyAlignment="1">
      <alignment horizontal="center" vertical="center"/>
    </xf>
    <xf numFmtId="0" fontId="14" fillId="6" borderId="4" xfId="0" applyFont="1" applyFill="1" applyBorder="1" applyAlignment="1">
      <alignment horizontal="center" vertical="center"/>
    </xf>
    <xf numFmtId="0" fontId="15" fillId="24" borderId="4" xfId="0" applyFont="1" applyFill="1" applyBorder="1" applyAlignment="1">
      <alignment horizontal="center" vertical="center"/>
    </xf>
    <xf numFmtId="0" fontId="15" fillId="52" borderId="4" xfId="0" applyFont="1" applyFill="1" applyBorder="1" applyAlignment="1">
      <alignment horizontal="center" vertical="center"/>
    </xf>
    <xf numFmtId="0" fontId="16" fillId="7" borderId="4" xfId="0" applyFont="1" applyFill="1" applyBorder="1" applyAlignment="1">
      <alignment horizontal="center" vertical="center"/>
    </xf>
    <xf numFmtId="0" fontId="16" fillId="16" borderId="1" xfId="0" applyFont="1" applyFill="1" applyBorder="1" applyAlignment="1">
      <alignment horizontal="center" vertical="center"/>
    </xf>
    <xf numFmtId="0" fontId="16" fillId="7" borderId="12" xfId="0" applyFont="1" applyFill="1" applyBorder="1" applyAlignment="1">
      <alignment horizontal="center" vertical="center"/>
    </xf>
    <xf numFmtId="0" fontId="14" fillId="25" borderId="3" xfId="0" applyFont="1" applyFill="1" applyBorder="1" applyAlignment="1">
      <alignment horizontal="center" vertical="center"/>
    </xf>
    <xf numFmtId="0" fontId="16" fillId="26" borderId="4" xfId="0" applyFont="1" applyFill="1" applyBorder="1" applyAlignment="1">
      <alignment horizontal="center" vertical="center"/>
    </xf>
    <xf numFmtId="0" fontId="14" fillId="8" borderId="4" xfId="0" applyFont="1" applyFill="1" applyBorder="1" applyAlignment="1">
      <alignment horizontal="center" vertical="center"/>
    </xf>
    <xf numFmtId="0" fontId="15" fillId="27" borderId="4" xfId="0" applyFont="1" applyFill="1" applyBorder="1" applyAlignment="1">
      <alignment horizontal="center" vertical="center"/>
    </xf>
    <xf numFmtId="0" fontId="14" fillId="28" borderId="4" xfId="0" applyFont="1" applyFill="1" applyBorder="1" applyAlignment="1">
      <alignment horizontal="center" vertical="center"/>
    </xf>
    <xf numFmtId="0" fontId="20" fillId="11" borderId="4" xfId="0" applyFont="1" applyFill="1" applyBorder="1" applyAlignment="1">
      <alignment horizontal="center" vertical="center"/>
    </xf>
    <xf numFmtId="0" fontId="15" fillId="9" borderId="4" xfId="0" applyFont="1" applyFill="1" applyBorder="1" applyAlignment="1">
      <alignment horizontal="center" vertical="center"/>
    </xf>
    <xf numFmtId="0" fontId="15" fillId="29" borderId="4" xfId="0" applyFont="1" applyFill="1" applyBorder="1" applyAlignment="1">
      <alignment horizontal="center" vertical="center"/>
    </xf>
    <xf numFmtId="0" fontId="15" fillId="30" borderId="4" xfId="0" applyFont="1" applyFill="1" applyBorder="1" applyAlignment="1">
      <alignment horizontal="center" vertical="center"/>
    </xf>
    <xf numFmtId="0" fontId="18" fillId="43" borderId="4" xfId="0" applyFont="1" applyFill="1" applyBorder="1" applyAlignment="1">
      <alignment horizontal="center" vertical="center"/>
    </xf>
    <xf numFmtId="0" fontId="14" fillId="10" borderId="4" xfId="0" applyFont="1" applyFill="1" applyBorder="1" applyAlignment="1">
      <alignment horizontal="center" vertical="center"/>
    </xf>
    <xf numFmtId="0" fontId="14" fillId="32" borderId="4" xfId="0" applyFont="1" applyFill="1" applyBorder="1" applyAlignment="1">
      <alignment horizontal="center" vertical="center"/>
    </xf>
    <xf numFmtId="0" fontId="16" fillId="11" borderId="4" xfId="0" applyFont="1" applyFill="1" applyBorder="1" applyAlignment="1">
      <alignment horizontal="center" vertical="center"/>
    </xf>
    <xf numFmtId="0" fontId="16" fillId="33" borderId="4" xfId="0" applyFont="1" applyFill="1" applyBorder="1" applyAlignment="1">
      <alignment horizontal="center" vertical="center"/>
    </xf>
    <xf numFmtId="0" fontId="14" fillId="34" borderId="4" xfId="0" applyFont="1" applyFill="1" applyBorder="1" applyAlignment="1">
      <alignment horizontal="center" vertical="center"/>
    </xf>
    <xf numFmtId="0" fontId="19" fillId="5" borderId="4" xfId="0" applyFont="1" applyFill="1" applyBorder="1" applyAlignment="1">
      <alignment horizontal="center" vertical="center"/>
    </xf>
    <xf numFmtId="0" fontId="16" fillId="12" borderId="4" xfId="0" applyFont="1" applyFill="1" applyBorder="1" applyAlignment="1">
      <alignment horizontal="center" vertical="center"/>
    </xf>
    <xf numFmtId="0" fontId="14" fillId="35" borderId="4" xfId="0" applyFont="1" applyFill="1" applyBorder="1" applyAlignment="1">
      <alignment horizontal="center" vertical="center"/>
    </xf>
    <xf numFmtId="0" fontId="16" fillId="36" borderId="4" xfId="0" applyFont="1" applyFill="1" applyBorder="1" applyAlignment="1">
      <alignment horizontal="center" vertical="center"/>
    </xf>
    <xf numFmtId="0" fontId="15" fillId="13" borderId="4" xfId="0" applyFont="1" applyFill="1" applyBorder="1" applyAlignment="1">
      <alignment horizontal="center" vertical="center"/>
    </xf>
    <xf numFmtId="0" fontId="14" fillId="37" borderId="4" xfId="0" applyFont="1" applyFill="1" applyBorder="1" applyAlignment="1">
      <alignment horizontal="center" vertical="center"/>
    </xf>
    <xf numFmtId="0" fontId="15" fillId="38" borderId="4" xfId="0" applyFont="1" applyFill="1" applyBorder="1" applyAlignment="1">
      <alignment horizontal="center" vertical="center"/>
    </xf>
    <xf numFmtId="0" fontId="18" fillId="4" borderId="4" xfId="0" applyFont="1" applyFill="1" applyBorder="1" applyAlignment="1">
      <alignment horizontal="center" vertical="center"/>
    </xf>
    <xf numFmtId="0" fontId="19" fillId="9" borderId="4" xfId="0" applyFont="1" applyFill="1" applyBorder="1" applyAlignment="1">
      <alignment horizontal="center" vertical="center"/>
    </xf>
    <xf numFmtId="0" fontId="18" fillId="6" borderId="4" xfId="0" applyFont="1" applyFill="1" applyBorder="1" applyAlignment="1">
      <alignment horizontal="center" vertical="center"/>
    </xf>
    <xf numFmtId="0" fontId="16" fillId="23" borderId="4" xfId="0" applyFont="1" applyFill="1" applyBorder="1" applyAlignment="1">
      <alignment horizontal="center" vertical="center"/>
    </xf>
    <xf numFmtId="0" fontId="14" fillId="31" borderId="1" xfId="0" applyFont="1" applyFill="1" applyBorder="1" applyAlignment="1">
      <alignment horizontal="center" vertical="center"/>
    </xf>
    <xf numFmtId="0" fontId="14" fillId="31" borderId="4" xfId="0" applyFont="1" applyFill="1" applyBorder="1" applyAlignment="1">
      <alignment horizontal="center" vertical="center"/>
    </xf>
    <xf numFmtId="0" fontId="19" fillId="13" borderId="4" xfId="0" applyFont="1" applyFill="1" applyBorder="1" applyAlignment="1">
      <alignment horizontal="center" vertical="center"/>
    </xf>
    <xf numFmtId="0" fontId="20" fillId="12" borderId="4" xfId="0" applyFont="1" applyFill="1" applyBorder="1" applyAlignment="1">
      <alignment horizontal="center" vertical="center"/>
    </xf>
    <xf numFmtId="0" fontId="16" fillId="41" borderId="4" xfId="0" applyFont="1" applyFill="1" applyBorder="1" applyAlignment="1">
      <alignment horizontal="center" vertical="center"/>
    </xf>
    <xf numFmtId="0" fontId="16" fillId="0" borderId="4" xfId="0" applyFont="1" applyFill="1" applyBorder="1" applyAlignment="1">
      <alignment horizontal="center" vertical="center"/>
    </xf>
    <xf numFmtId="0" fontId="14" fillId="0" borderId="4" xfId="0" applyFont="1" applyFill="1" applyBorder="1" applyAlignment="1">
      <alignment horizontal="center" vertical="center"/>
    </xf>
    <xf numFmtId="0" fontId="14" fillId="0" borderId="1" xfId="0" applyFont="1" applyFill="1" applyBorder="1" applyAlignment="1">
      <alignment horizontal="center" vertical="center"/>
    </xf>
    <xf numFmtId="0" fontId="16" fillId="0" borderId="1" xfId="0" applyFont="1" applyFill="1" applyBorder="1" applyAlignment="1">
      <alignment horizontal="center" vertical="center"/>
    </xf>
    <xf numFmtId="0" fontId="14" fillId="11" borderId="4" xfId="0" applyFont="1" applyFill="1" applyBorder="1" applyAlignment="1">
      <alignment horizontal="center" vertical="center"/>
    </xf>
    <xf numFmtId="0" fontId="13" fillId="14" borderId="4" xfId="0" applyFont="1" applyFill="1" applyBorder="1" applyAlignment="1">
      <alignment vertical="center"/>
    </xf>
    <xf numFmtId="0" fontId="13" fillId="3" borderId="7" xfId="0" applyFont="1" applyFill="1" applyBorder="1" applyAlignment="1">
      <alignment horizontal="center" vertical="center"/>
    </xf>
    <xf numFmtId="0" fontId="13" fillId="14" borderId="1" xfId="0" applyFont="1" applyFill="1" applyBorder="1" applyAlignment="1">
      <alignment vertical="center"/>
    </xf>
    <xf numFmtId="1" fontId="13" fillId="3" borderId="4" xfId="0" applyNumberFormat="1" applyFont="1" applyFill="1" applyBorder="1" applyAlignment="1">
      <alignment horizontal="center" vertical="center"/>
    </xf>
    <xf numFmtId="0" fontId="16" fillId="42" borderId="5" xfId="0" applyFont="1" applyFill="1" applyBorder="1" applyAlignment="1">
      <alignment horizontal="center" vertical="center"/>
    </xf>
    <xf numFmtId="0" fontId="16" fillId="42" borderId="4" xfId="0" applyFont="1" applyFill="1" applyBorder="1" applyAlignment="1">
      <alignment horizontal="center" vertical="center"/>
    </xf>
    <xf numFmtId="0" fontId="16" fillId="40" borderId="5" xfId="0" applyFont="1" applyFill="1" applyBorder="1" applyAlignment="1">
      <alignment horizontal="center" vertical="center"/>
    </xf>
    <xf numFmtId="0" fontId="16" fillId="39" borderId="4" xfId="0" applyFont="1" applyFill="1" applyBorder="1" applyAlignment="1">
      <alignment horizontal="center" vertical="center"/>
    </xf>
    <xf numFmtId="0" fontId="16" fillId="40" borderId="4" xfId="0" applyFont="1" applyFill="1" applyBorder="1" applyAlignment="1">
      <alignment horizontal="center" vertical="center"/>
    </xf>
    <xf numFmtId="0" fontId="22" fillId="0" borderId="0" xfId="0" applyFont="1" applyAlignment="1"/>
    <xf numFmtId="0" fontId="21" fillId="0" borderId="13" xfId="0" applyFont="1" applyBorder="1" applyAlignment="1"/>
    <xf numFmtId="0" fontId="21" fillId="0" borderId="5" xfId="0" applyFont="1" applyBorder="1" applyAlignment="1"/>
    <xf numFmtId="0" fontId="21" fillId="0" borderId="12" xfId="0" applyFont="1" applyBorder="1" applyAlignment="1"/>
    <xf numFmtId="0" fontId="21" fillId="0" borderId="12" xfId="0" applyFont="1" applyFill="1" applyBorder="1" applyAlignment="1"/>
    <xf numFmtId="0" fontId="21" fillId="0" borderId="5" xfId="0" applyFont="1" applyFill="1" applyBorder="1" applyAlignment="1"/>
    <xf numFmtId="0" fontId="16" fillId="51" borderId="12" xfId="0" applyFont="1" applyFill="1" applyBorder="1" applyAlignment="1">
      <alignment horizontal="center"/>
    </xf>
    <xf numFmtId="0" fontId="22" fillId="0" borderId="12" xfId="0" applyFont="1" applyBorder="1" applyAlignment="1"/>
    <xf numFmtId="0" fontId="22" fillId="0" borderId="5" xfId="0" applyFont="1" applyBorder="1" applyAlignment="1"/>
    <xf numFmtId="0" fontId="16" fillId="39" borderId="12" xfId="0" applyFont="1" applyFill="1" applyBorder="1" applyAlignment="1">
      <alignment horizontal="center"/>
    </xf>
    <xf numFmtId="0" fontId="16" fillId="0" borderId="5" xfId="0" applyFont="1" applyBorder="1" applyAlignment="1">
      <alignment horizontal="center" vertical="center" wrapText="1"/>
    </xf>
    <xf numFmtId="0" fontId="20" fillId="0" borderId="5" xfId="0" applyFont="1" applyFill="1" applyBorder="1" applyAlignment="1">
      <alignment horizontal="center" vertical="center" wrapText="1"/>
    </xf>
    <xf numFmtId="0" fontId="13" fillId="0" borderId="0" xfId="0" applyFont="1" applyAlignment="1">
      <alignment horizontal="center" vertical="center"/>
    </xf>
    <xf numFmtId="0" fontId="21" fillId="0" borderId="0" xfId="0" applyFont="1" applyAlignment="1">
      <alignment horizontal="center" vertical="center"/>
    </xf>
    <xf numFmtId="0" fontId="16"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0" xfId="0" applyFont="1" applyAlignment="1">
      <alignment horizontal="center" vertical="center"/>
    </xf>
    <xf numFmtId="0" fontId="20" fillId="0" borderId="0" xfId="0" applyFont="1" applyAlignment="1">
      <alignment horizontal="center" vertical="center"/>
    </xf>
    <xf numFmtId="0" fontId="18" fillId="0" borderId="0" xfId="0" applyFont="1" applyAlignment="1">
      <alignment horizontal="center" vertical="center"/>
    </xf>
    <xf numFmtId="0" fontId="14" fillId="0" borderId="0" xfId="0" applyFont="1" applyAlignment="1">
      <alignment horizontal="center" vertical="center"/>
    </xf>
    <xf numFmtId="0" fontId="16" fillId="0" borderId="3" xfId="0" applyFont="1" applyBorder="1" applyAlignment="1">
      <alignment horizontal="center" vertical="center" wrapText="1"/>
    </xf>
    <xf numFmtId="0" fontId="20" fillId="0" borderId="4" xfId="0" applyFont="1" applyFill="1" applyBorder="1" applyAlignment="1">
      <alignment horizontal="center" vertical="center" wrapText="1"/>
    </xf>
    <xf numFmtId="0" fontId="20" fillId="0" borderId="1" xfId="0" applyFont="1" applyFill="1" applyBorder="1" applyAlignment="1">
      <alignment horizontal="center" vertical="center" wrapText="1"/>
    </xf>
    <xf numFmtId="0" fontId="22" fillId="0" borderId="0" xfId="0" applyFont="1" applyAlignment="1">
      <alignment horizontal="center" vertical="center"/>
    </xf>
    <xf numFmtId="0" fontId="22" fillId="0" borderId="0" xfId="0" applyFont="1" applyAlignment="1">
      <alignment vertical="center"/>
    </xf>
    <xf numFmtId="0" fontId="16" fillId="0" borderId="9" xfId="0" applyFont="1" applyBorder="1" applyAlignment="1">
      <alignment horizontal="center" vertical="center" wrapText="1"/>
    </xf>
    <xf numFmtId="0" fontId="20" fillId="0" borderId="10"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3" fillId="0" borderId="0" xfId="0" applyFont="1" applyAlignment="1">
      <alignment horizontal="center" vertical="center"/>
    </xf>
    <xf numFmtId="0" fontId="17" fillId="0" borderId="5" xfId="0" applyFont="1" applyBorder="1" applyAlignment="1">
      <alignment horizontal="center" vertical="center"/>
    </xf>
    <xf numFmtId="0" fontId="13" fillId="0" borderId="0" xfId="0" applyFont="1" applyAlignment="1">
      <alignment vertical="center"/>
    </xf>
    <xf numFmtId="0" fontId="16" fillId="0" borderId="0" xfId="0" applyFont="1" applyAlignment="1">
      <alignment vertical="center"/>
    </xf>
    <xf numFmtId="164" fontId="13" fillId="0" borderId="0" xfId="0" applyNumberFormat="1" applyFont="1" applyAlignment="1">
      <alignment horizontal="center" vertical="center"/>
    </xf>
    <xf numFmtId="164" fontId="22" fillId="0" borderId="12" xfId="0" applyNumberFormat="1" applyFont="1" applyBorder="1" applyAlignment="1"/>
    <xf numFmtId="0" fontId="21" fillId="0" borderId="5" xfId="0" applyFont="1" applyBorder="1" applyAlignment="1">
      <alignment horizontal="center"/>
    </xf>
    <xf numFmtId="0" fontId="22" fillId="0" borderId="12" xfId="0" applyNumberFormat="1" applyFont="1" applyBorder="1" applyAlignment="1"/>
    <xf numFmtId="0" fontId="24" fillId="0" borderId="0" xfId="0" applyFont="1" applyAlignment="1">
      <alignment horizontal="center"/>
    </xf>
    <xf numFmtId="0" fontId="27" fillId="56" borderId="12" xfId="0" applyFont="1" applyFill="1" applyBorder="1" applyAlignment="1">
      <alignment horizontal="center" vertical="center"/>
    </xf>
    <xf numFmtId="0" fontId="28" fillId="0" borderId="12" xfId="0" applyFont="1" applyBorder="1" applyAlignment="1">
      <alignment horizontal="center"/>
    </xf>
    <xf numFmtId="0" fontId="0" fillId="0" borderId="12" xfId="0" applyFont="1" applyBorder="1" applyAlignment="1"/>
    <xf numFmtId="0" fontId="28" fillId="0" borderId="12" xfId="0" applyFont="1" applyFill="1" applyBorder="1" applyAlignment="1">
      <alignment horizontal="center"/>
    </xf>
    <xf numFmtId="0" fontId="0" fillId="0" borderId="12" xfId="0" applyFont="1" applyBorder="1" applyAlignment="1">
      <alignment horizontal="center" vertical="center"/>
    </xf>
    <xf numFmtId="165" fontId="0" fillId="0" borderId="12" xfId="1" applyNumberFormat="1" applyFont="1" applyBorder="1" applyAlignment="1">
      <alignment horizontal="center" vertical="center"/>
    </xf>
    <xf numFmtId="1" fontId="0" fillId="0" borderId="12" xfId="0" applyNumberFormat="1" applyFont="1" applyBorder="1" applyAlignment="1">
      <alignment horizontal="center" vertical="center"/>
    </xf>
    <xf numFmtId="0" fontId="24" fillId="0" borderId="12" xfId="0" applyFont="1" applyBorder="1" applyAlignment="1">
      <alignment horizontal="center" vertical="center"/>
    </xf>
    <xf numFmtId="0" fontId="29" fillId="0" borderId="12" xfId="0" applyFont="1" applyBorder="1" applyAlignment="1">
      <alignment horizontal="center" vertical="center"/>
    </xf>
    <xf numFmtId="1" fontId="29" fillId="0" borderId="12" xfId="0" applyNumberFormat="1" applyFont="1" applyBorder="1" applyAlignment="1">
      <alignment horizontal="center" vertical="center"/>
    </xf>
    <xf numFmtId="0" fontId="28" fillId="0" borderId="12" xfId="0" applyFont="1" applyBorder="1" applyAlignment="1">
      <alignment horizontal="center" vertical="center"/>
    </xf>
    <xf numFmtId="0" fontId="28" fillId="0" borderId="12" xfId="0" applyFont="1" applyFill="1" applyBorder="1" applyAlignment="1">
      <alignment horizontal="center" vertical="center"/>
    </xf>
    <xf numFmtId="9" fontId="0" fillId="0" borderId="12" xfId="1" applyFont="1" applyBorder="1" applyAlignment="1">
      <alignment horizontal="center" vertical="center"/>
    </xf>
    <xf numFmtId="166" fontId="0" fillId="0" borderId="12" xfId="0" applyNumberFormat="1" applyFont="1" applyBorder="1" applyAlignment="1">
      <alignment horizontal="center" vertical="center"/>
    </xf>
    <xf numFmtId="0" fontId="25" fillId="0" borderId="5" xfId="0" applyFont="1" applyFill="1" applyBorder="1" applyAlignment="1">
      <alignment vertical="center"/>
    </xf>
    <xf numFmtId="0" fontId="30" fillId="0" borderId="0" xfId="0" applyFont="1" applyFill="1" applyAlignment="1">
      <alignment vertical="center"/>
    </xf>
    <xf numFmtId="0" fontId="25" fillId="0" borderId="0" xfId="0" applyFont="1" applyFill="1" applyAlignment="1">
      <alignment vertical="center"/>
    </xf>
    <xf numFmtId="0" fontId="0" fillId="58" borderId="12" xfId="0" applyFont="1" applyFill="1" applyBorder="1" applyAlignment="1">
      <alignment horizontal="center" vertical="center"/>
    </xf>
    <xf numFmtId="0" fontId="0" fillId="57" borderId="12" xfId="0" applyFont="1" applyFill="1" applyBorder="1" applyAlignment="1">
      <alignment horizontal="center" vertical="center"/>
    </xf>
    <xf numFmtId="0" fontId="24" fillId="57" borderId="12" xfId="0" applyFont="1" applyFill="1" applyBorder="1" applyAlignment="1">
      <alignment horizontal="center" vertical="center"/>
    </xf>
    <xf numFmtId="0" fontId="0" fillId="59" borderId="12" xfId="0" applyFont="1" applyFill="1" applyBorder="1" applyAlignment="1">
      <alignment horizontal="center" vertical="center"/>
    </xf>
    <xf numFmtId="0" fontId="0" fillId="60" borderId="12" xfId="0" applyFont="1" applyFill="1" applyBorder="1" applyAlignment="1">
      <alignment horizontal="center" vertical="center"/>
    </xf>
    <xf numFmtId="0" fontId="0" fillId="61" borderId="12" xfId="0" applyFont="1" applyFill="1" applyBorder="1" applyAlignment="1">
      <alignment horizontal="center" vertical="center"/>
    </xf>
    <xf numFmtId="0" fontId="24" fillId="62" borderId="12" xfId="0" applyFont="1" applyFill="1" applyBorder="1" applyAlignment="1">
      <alignment horizontal="center" vertical="center"/>
    </xf>
    <xf numFmtId="0" fontId="28" fillId="44" borderId="12" xfId="0" applyFont="1" applyFill="1" applyBorder="1" applyAlignment="1">
      <alignment horizontal="center" vertical="center"/>
    </xf>
    <xf numFmtId="0" fontId="0" fillId="65" borderId="12" xfId="0" applyFont="1" applyFill="1" applyBorder="1" applyAlignment="1">
      <alignment horizontal="center" vertical="center"/>
    </xf>
    <xf numFmtId="0" fontId="0" fillId="63" borderId="12" xfId="0" applyFont="1" applyFill="1" applyBorder="1" applyAlignment="1">
      <alignment horizontal="center" vertical="center"/>
    </xf>
    <xf numFmtId="0" fontId="0" fillId="64" borderId="12" xfId="0" applyFont="1" applyFill="1" applyBorder="1" applyAlignment="1">
      <alignment horizontal="center" vertical="center"/>
    </xf>
    <xf numFmtId="0" fontId="0" fillId="66" borderId="12" xfId="0" applyFont="1" applyFill="1" applyBorder="1" applyAlignment="1">
      <alignment horizontal="center" vertical="center"/>
    </xf>
    <xf numFmtId="1" fontId="24" fillId="62" borderId="12" xfId="0" applyNumberFormat="1" applyFont="1" applyFill="1" applyBorder="1" applyAlignment="1">
      <alignment horizontal="center" vertical="center"/>
    </xf>
    <xf numFmtId="0" fontId="28" fillId="57" borderId="12" xfId="0" applyFont="1" applyFill="1" applyBorder="1" applyAlignment="1">
      <alignment horizontal="center" vertical="center"/>
    </xf>
    <xf numFmtId="1" fontId="0" fillId="57" borderId="12" xfId="0" applyNumberFormat="1" applyFont="1" applyFill="1" applyBorder="1" applyAlignment="1">
      <alignment horizontal="center" vertical="center"/>
    </xf>
    <xf numFmtId="9" fontId="0" fillId="57" borderId="12" xfId="1" applyFont="1" applyFill="1" applyBorder="1" applyAlignment="1">
      <alignment horizontal="center" vertical="center"/>
    </xf>
    <xf numFmtId="0" fontId="0" fillId="0" borderId="5" xfId="0" applyFont="1" applyFill="1" applyBorder="1" applyAlignment="1">
      <alignment horizontal="center" vertical="center"/>
    </xf>
    <xf numFmtId="0" fontId="32" fillId="0" borderId="5" xfId="0" applyFont="1" applyBorder="1" applyAlignment="1">
      <alignment horizontal="left" vertical="center"/>
    </xf>
    <xf numFmtId="0" fontId="37" fillId="0" borderId="0" xfId="0" applyFont="1" applyAlignment="1">
      <alignment horizontal="left" vertical="center"/>
    </xf>
    <xf numFmtId="0" fontId="38" fillId="0" borderId="0" xfId="0" applyFont="1" applyAlignment="1"/>
    <xf numFmtId="0" fontId="0" fillId="0" borderId="5" xfId="0" applyFont="1" applyFill="1" applyBorder="1" applyAlignment="1">
      <alignment horizontal="left" vertical="top" wrapText="1"/>
    </xf>
    <xf numFmtId="0" fontId="35" fillId="53" borderId="0" xfId="0" applyFont="1" applyFill="1" applyAlignment="1">
      <alignment horizontal="center" vertical="center"/>
    </xf>
    <xf numFmtId="0" fontId="36" fillId="56" borderId="0" xfId="0" applyFont="1" applyFill="1" applyAlignment="1">
      <alignment horizontal="center" vertical="center"/>
    </xf>
    <xf numFmtId="0" fontId="32" fillId="0" borderId="12" xfId="0" applyFont="1" applyBorder="1" applyAlignment="1">
      <alignment horizontal="left" vertical="center"/>
    </xf>
    <xf numFmtId="0" fontId="34" fillId="57" borderId="16" xfId="0" applyFont="1" applyFill="1" applyBorder="1" applyAlignment="1">
      <alignment horizontal="left" vertical="top" wrapText="1"/>
    </xf>
    <xf numFmtId="0" fontId="34" fillId="57" borderId="17" xfId="0" applyFont="1" applyFill="1" applyBorder="1" applyAlignment="1">
      <alignment horizontal="left" vertical="top" wrapText="1"/>
    </xf>
    <xf numFmtId="0" fontId="34" fillId="57" borderId="18" xfId="0" applyFont="1" applyFill="1" applyBorder="1" applyAlignment="1">
      <alignment horizontal="left" vertical="top" wrapText="1"/>
    </xf>
    <xf numFmtId="0" fontId="34" fillId="57" borderId="19" xfId="0" applyFont="1" applyFill="1" applyBorder="1" applyAlignment="1">
      <alignment horizontal="left" vertical="top" wrapText="1"/>
    </xf>
    <xf numFmtId="0" fontId="34" fillId="57" borderId="5" xfId="0" applyFont="1" applyFill="1" applyBorder="1" applyAlignment="1">
      <alignment horizontal="left" vertical="top" wrapText="1"/>
    </xf>
    <xf numFmtId="0" fontId="34" fillId="57" borderId="20" xfId="0" applyFont="1" applyFill="1" applyBorder="1" applyAlignment="1">
      <alignment horizontal="left" vertical="top" wrapText="1"/>
    </xf>
    <xf numFmtId="0" fontId="34" fillId="57" borderId="21" xfId="0" applyFont="1" applyFill="1" applyBorder="1" applyAlignment="1">
      <alignment horizontal="left" vertical="top" wrapText="1"/>
    </xf>
    <xf numFmtId="0" fontId="34" fillId="57" borderId="22" xfId="0" applyFont="1" applyFill="1" applyBorder="1" applyAlignment="1">
      <alignment horizontal="left" vertical="top" wrapText="1"/>
    </xf>
    <xf numFmtId="0" fontId="34" fillId="57" borderId="23" xfId="0" applyFont="1" applyFill="1" applyBorder="1" applyAlignment="1">
      <alignment horizontal="left" vertical="top" wrapText="1"/>
    </xf>
    <xf numFmtId="0" fontId="13" fillId="14" borderId="1" xfId="0" applyFont="1" applyFill="1" applyBorder="1" applyAlignment="1">
      <alignment horizontal="center" vertical="center"/>
    </xf>
    <xf numFmtId="0" fontId="13" fillId="14" borderId="3" xfId="0" applyFont="1" applyFill="1" applyBorder="1" applyAlignment="1">
      <alignment horizontal="center" vertical="center"/>
    </xf>
    <xf numFmtId="0" fontId="12" fillId="0" borderId="3" xfId="0" applyFont="1" applyBorder="1" applyAlignment="1">
      <alignment vertical="center"/>
    </xf>
    <xf numFmtId="0" fontId="16" fillId="12" borderId="1" xfId="0" applyFont="1" applyFill="1" applyBorder="1" applyAlignment="1">
      <alignment horizontal="center" vertical="center"/>
    </xf>
    <xf numFmtId="0" fontId="12" fillId="0" borderId="2" xfId="0" applyFont="1" applyBorder="1" applyAlignment="1">
      <alignment vertical="center"/>
    </xf>
    <xf numFmtId="0" fontId="15" fillId="13" borderId="1" xfId="0" applyFont="1" applyFill="1" applyBorder="1" applyAlignment="1">
      <alignment horizontal="center" vertical="center"/>
    </xf>
    <xf numFmtId="0" fontId="11" fillId="2" borderId="1" xfId="0" applyFont="1" applyFill="1" applyBorder="1" applyAlignment="1">
      <alignment horizontal="center" vertical="center"/>
    </xf>
    <xf numFmtId="0" fontId="14" fillId="4" borderId="1" xfId="0" applyFont="1" applyFill="1" applyBorder="1" applyAlignment="1">
      <alignment horizontal="center" vertical="center"/>
    </xf>
    <xf numFmtId="0" fontId="15" fillId="45" borderId="1" xfId="0" applyFont="1" applyFill="1" applyBorder="1" applyAlignment="1">
      <alignment horizontal="center" vertical="center"/>
    </xf>
    <xf numFmtId="0" fontId="12" fillId="46" borderId="2" xfId="0" applyFont="1" applyFill="1" applyBorder="1" applyAlignment="1">
      <alignment vertical="center"/>
    </xf>
    <xf numFmtId="0" fontId="12" fillId="46" borderId="3" xfId="0" applyFont="1" applyFill="1" applyBorder="1" applyAlignment="1">
      <alignment vertical="center"/>
    </xf>
    <xf numFmtId="0" fontId="14" fillId="6" borderId="1" xfId="0" applyFont="1" applyFill="1" applyBorder="1" applyAlignment="1">
      <alignment horizontal="center" vertical="center"/>
    </xf>
    <xf numFmtId="0" fontId="16" fillId="7" borderId="1" xfId="0" applyFont="1" applyFill="1" applyBorder="1" applyAlignment="1">
      <alignment horizontal="center" vertical="center"/>
    </xf>
    <xf numFmtId="0" fontId="14" fillId="8" borderId="1" xfId="0" applyFont="1" applyFill="1" applyBorder="1" applyAlignment="1">
      <alignment horizontal="center" vertical="center"/>
    </xf>
    <xf numFmtId="0" fontId="15" fillId="9" borderId="1" xfId="0" applyFont="1" applyFill="1" applyBorder="1" applyAlignment="1">
      <alignment horizontal="center" vertical="center"/>
    </xf>
    <xf numFmtId="0" fontId="14" fillId="43" borderId="1" xfId="0" applyFont="1" applyFill="1" applyBorder="1" applyAlignment="1">
      <alignment horizontal="center" vertical="center"/>
    </xf>
    <xf numFmtId="0" fontId="12" fillId="44" borderId="2" xfId="0" applyFont="1" applyFill="1" applyBorder="1" applyAlignment="1">
      <alignment vertical="center"/>
    </xf>
    <xf numFmtId="0" fontId="12" fillId="44" borderId="3" xfId="0" applyFont="1" applyFill="1" applyBorder="1" applyAlignment="1">
      <alignment vertical="center"/>
    </xf>
    <xf numFmtId="0" fontId="16" fillId="11" borderId="1" xfId="0" applyFont="1" applyFill="1" applyBorder="1" applyAlignment="1">
      <alignment horizontal="center" vertical="center"/>
    </xf>
    <xf numFmtId="0" fontId="26" fillId="53" borderId="0" xfId="0" applyFont="1" applyFill="1" applyAlignment="1">
      <alignment horizontal="center" vertical="center"/>
    </xf>
    <xf numFmtId="0" fontId="25" fillId="55" borderId="12" xfId="0" applyFont="1" applyFill="1" applyBorder="1" applyAlignment="1">
      <alignment horizontal="center" vertical="center"/>
    </xf>
    <xf numFmtId="0" fontId="25" fillId="55" borderId="14" xfId="0" applyFont="1" applyFill="1" applyBorder="1" applyAlignment="1">
      <alignment horizontal="center" vertical="center"/>
    </xf>
    <xf numFmtId="0" fontId="25" fillId="55" borderId="15" xfId="0" applyFont="1" applyFill="1" applyBorder="1" applyAlignment="1">
      <alignment horizontal="center" vertical="center"/>
    </xf>
    <xf numFmtId="0" fontId="25" fillId="56" borderId="12" xfId="0" applyFont="1" applyFill="1" applyBorder="1" applyAlignment="1">
      <alignment horizontal="center" vertical="center"/>
    </xf>
    <xf numFmtId="0" fontId="34" fillId="44" borderId="12" xfId="0" applyFont="1" applyFill="1" applyBorder="1" applyAlignment="1">
      <alignment horizontal="center" vertical="center"/>
    </xf>
    <xf numFmtId="0" fontId="31" fillId="56" borderId="12" xfId="0" applyFont="1" applyFill="1" applyBorder="1" applyAlignment="1">
      <alignment horizontal="center" vertical="center"/>
    </xf>
    <xf numFmtId="0" fontId="33" fillId="56" borderId="12" xfId="0" applyFont="1" applyFill="1" applyBorder="1" applyAlignment="1">
      <alignment horizontal="center" vertical="center"/>
    </xf>
    <xf numFmtId="0" fontId="30" fillId="54" borderId="0" xfId="0" applyFont="1" applyFill="1" applyAlignment="1">
      <alignment horizontal="center" vertical="center"/>
    </xf>
    <xf numFmtId="0" fontId="0" fillId="49" borderId="0" xfId="0" applyFont="1" applyFill="1" applyAlignment="1">
      <alignment horizontal="center"/>
    </xf>
    <xf numFmtId="0" fontId="0" fillId="48" borderId="0" xfId="0" applyFont="1" applyFill="1" applyAlignment="1">
      <alignment horizontal="center"/>
    </xf>
    <xf numFmtId="0" fontId="21" fillId="0" borderId="12" xfId="0" applyFont="1" applyBorder="1" applyAlignment="1">
      <alignment horizontal="center"/>
    </xf>
  </cellXfs>
  <cellStyles count="2">
    <cellStyle name="Normal" xfId="0" builtinId="0"/>
    <cellStyle name="Percent" xfId="1" builtinId="5"/>
  </cellStyles>
  <dxfs count="46">
    <dxf>
      <fill>
        <patternFill>
          <bgColor rgb="FF92D050"/>
        </patternFill>
      </fill>
    </dxf>
    <dxf>
      <font>
        <b/>
        <i val="0"/>
        <color rgb="FF00B050"/>
      </font>
    </dxf>
    <dxf>
      <font>
        <b/>
        <i val="0"/>
        <color rgb="FFFF0000"/>
      </font>
    </dxf>
    <dxf>
      <font>
        <b/>
        <i val="0"/>
        <color rgb="FFFFC000"/>
      </font>
    </dxf>
    <dxf>
      <fill>
        <patternFill>
          <bgColor theme="5" tint="0.39994506668294322"/>
        </patternFill>
      </fill>
    </dxf>
    <dxf>
      <fill>
        <patternFill>
          <bgColor theme="7" tint="0.59996337778862885"/>
        </patternFill>
      </fill>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right style="thin">
          <color rgb="FF000000"/>
        </right>
      </border>
    </dxf>
    <dxf>
      <font>
        <strike val="0"/>
        <outline val="0"/>
        <shadow val="0"/>
        <u val="none"/>
        <vertAlign val="baseline"/>
        <sz val="10"/>
        <color theme="0"/>
        <name val="Bahnschrift"/>
        <family val="2"/>
        <scheme val="none"/>
      </font>
      <fill>
        <patternFill patternType="none">
          <fgColor indexed="64"/>
          <bgColor auto="1"/>
        </patternFill>
      </fill>
      <alignment horizontal="center" vertical="center" textRotation="0" wrapText="1" indent="0" justifyLastLine="0" shrinkToFit="0" readingOrder="0"/>
      <border outline="0">
        <left style="thin">
          <color rgb="FF000000"/>
        </left>
        <right style="thin">
          <color rgb="FF000000"/>
        </right>
      </border>
    </dxf>
    <dxf>
      <font>
        <b/>
        <strike val="0"/>
        <outline val="0"/>
        <shadow val="0"/>
        <u val="none"/>
        <vertAlign val="baseline"/>
        <sz val="10"/>
        <color theme="0"/>
        <name val="Bahnschrift"/>
        <family val="2"/>
        <scheme val="none"/>
      </font>
      <alignment horizontal="center" vertical="center" textRotation="0" wrapText="1" indent="0" justifyLastLine="0" shrinkToFit="0" readingOrder="0"/>
      <border outline="0">
        <right style="thin">
          <color rgb="FF000000"/>
        </right>
      </border>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b val="0"/>
        <i val="0"/>
        <strike val="0"/>
        <condense val="0"/>
        <extend val="0"/>
        <outline val="0"/>
        <shadow val="0"/>
        <u val="none"/>
        <vertAlign val="baseline"/>
        <sz val="10"/>
        <color rgb="FF000000"/>
        <name val="Bahnschrift"/>
        <family val="2"/>
        <scheme val="none"/>
      </font>
      <numFmt numFmtId="164" formatCode="0.000"/>
      <alignment horizontal="center" vertical="center" textRotation="0" wrapText="0" indent="0" justifyLastLine="0" shrinkToFit="0" readingOrder="0"/>
    </dxf>
    <dxf>
      <font>
        <b val="0"/>
        <i val="0"/>
        <strike val="0"/>
        <condense val="0"/>
        <extend val="0"/>
        <outline val="0"/>
        <shadow val="0"/>
        <u val="none"/>
        <vertAlign val="baseline"/>
        <sz val="10"/>
        <color rgb="FF000000"/>
        <name val="Bahnschrif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rgb="FF000000"/>
        <name val="Bahnschrift"/>
        <family val="2"/>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rgb="FF000000"/>
        <name val="Bahnschrift"/>
        <family val="2"/>
        <scheme val="none"/>
      </font>
      <alignment horizontal="center" vertical="center" textRotation="0" wrapText="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b/>
        <i/>
        <strike val="0"/>
        <condense val="0"/>
        <extend val="0"/>
        <outline val="0"/>
        <shadow val="0"/>
        <u val="none"/>
        <vertAlign val="baseline"/>
        <sz val="10"/>
        <color theme="0"/>
        <name val="Bahnschrif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Bahnschrif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rgb="FF000000"/>
        <name val="Bahnschrif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Bahnschrift"/>
        <family val="2"/>
        <scheme val="none"/>
      </font>
      <alignment horizontal="center" vertical="center" textRotation="0" wrapText="0" indent="0" justifyLastLine="0" shrinkToFit="0" readingOrder="0"/>
    </dxf>
    <dxf>
      <font>
        <b/>
        <i/>
        <strike val="0"/>
        <condense val="0"/>
        <extend val="0"/>
        <outline val="0"/>
        <shadow val="0"/>
        <u val="none"/>
        <vertAlign val="baseline"/>
        <sz val="10"/>
        <color theme="0"/>
        <name val="Bahnschrift"/>
        <family val="2"/>
        <scheme val="none"/>
      </font>
      <alignment horizontal="center" vertical="center" textRotation="0" wrapText="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ont>
        <strike val="0"/>
        <outline val="0"/>
        <shadow val="0"/>
        <u val="none"/>
        <vertAlign val="baseline"/>
        <sz val="10"/>
        <name val="Bahnschrift"/>
        <family val="2"/>
        <scheme val="none"/>
      </font>
      <alignment vertical="center" textRotation="0" indent="0" justifyLastLine="0" shrinkToFit="0" readingOrder="0"/>
    </dxf>
    <dxf>
      <fill>
        <patternFill patternType="solid">
          <fgColor rgb="FFFEE1CC"/>
          <bgColor rgb="FFFEE1CC"/>
        </patternFill>
      </fill>
    </dxf>
    <dxf>
      <fill>
        <patternFill patternType="solid">
          <fgColor rgb="FFFFC499"/>
          <bgColor rgb="FFFFC499"/>
        </patternFill>
      </fill>
    </dxf>
    <dxf>
      <fill>
        <patternFill patternType="solid">
          <fgColor theme="9"/>
          <bgColor theme="9"/>
        </patternFill>
      </fill>
    </dxf>
    <dxf>
      <fill>
        <patternFill patternType="solid">
          <fgColor rgb="FF727272"/>
          <bgColor rgb="FF727272"/>
        </patternFill>
      </fill>
    </dxf>
    <dxf>
      <fill>
        <patternFill patternType="solid">
          <fgColor rgb="FF3F3F3F"/>
          <bgColor rgb="FF3F3F3F"/>
        </patternFill>
      </fill>
    </dxf>
    <dxf>
      <fill>
        <patternFill patternType="solid">
          <fgColor theme="1"/>
          <bgColor theme="1"/>
        </patternFill>
      </fill>
    </dxf>
    <dxf>
      <fill>
        <patternFill patternType="solid">
          <fgColor rgb="FFFEF1CC"/>
          <bgColor rgb="FFFEF1CC"/>
        </patternFill>
      </fill>
    </dxf>
    <dxf>
      <fill>
        <patternFill patternType="solid">
          <fgColor rgb="FFFDE49A"/>
          <bgColor rgb="FFFDE49A"/>
        </patternFill>
      </fill>
    </dxf>
    <dxf>
      <fill>
        <patternFill patternType="solid">
          <fgColor theme="7"/>
          <bgColor theme="7"/>
        </patternFill>
      </fill>
    </dxf>
  </dxfs>
  <tableStyles count="3">
    <tableStyle name="Regular Season-style" pivot="0" count="3" xr9:uid="{00000000-0011-0000-FFFF-FFFF00000000}">
      <tableStyleElement type="headerRow" dxfId="45"/>
      <tableStyleElement type="firstRowStripe" dxfId="44"/>
      <tableStyleElement type="secondRowStripe" dxfId="43"/>
    </tableStyle>
    <tableStyle name="Regular Season-style 2" pivot="0" count="3" xr9:uid="{00000000-0011-0000-FFFF-FFFF01000000}">
      <tableStyleElement type="headerRow" dxfId="42"/>
      <tableStyleElement type="firstRowStripe" dxfId="41"/>
      <tableStyleElement type="secondRowStripe" dxfId="40"/>
    </tableStyle>
    <tableStyle name="Regular Season-style 3" pivot="0" count="3" xr9:uid="{00000000-0011-0000-FFFF-FFFF02000000}">
      <tableStyleElement type="headerRow" dxfId="39"/>
      <tableStyleElement type="firstRowStripe" dxfId="38"/>
      <tableStyleElement type="secondRowStripe" dxfId="37"/>
    </tableStyle>
  </tableStyles>
  <colors>
    <mruColors>
      <color rgb="FF1C235D"/>
      <color rgb="FF000050"/>
      <color rgb="FF0D47A1"/>
      <color rgb="FFA7A9AC"/>
      <color rgb="FFFFEBEE"/>
      <color rgb="FFFBE9E7"/>
      <color rgb="FFF5F5F5"/>
      <color rgb="FFFFF9C4"/>
      <color rgb="FFE8EAF6"/>
      <color rgb="FF0D47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Win &amp; Loss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50E9-4BD9-AB16-659D6F429DD6}"/>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50E9-4BD9-AB16-659D6F429DD6}"/>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50E9-4BD9-AB16-659D6F429DD6}"/>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50E9-4BD9-AB16-659D6F429DD6}"/>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'Regular Season'!$A$35:$A$41</c15:sqref>
                  </c15:fullRef>
                </c:ext>
              </c:extLst>
              <c:f>('Regular Season'!$A$35,'Regular Season'!$A$37,'Regular Season'!$A$39,'Regular Season'!$A$41)</c:f>
              <c:strCache>
                <c:ptCount val="4"/>
                <c:pt idx="0">
                  <c:v>Chasing Win</c:v>
                </c:pt>
                <c:pt idx="1">
                  <c:v>Bat First Win</c:v>
                </c:pt>
                <c:pt idx="2">
                  <c:v>Super-Over Win</c:v>
                </c:pt>
                <c:pt idx="3">
                  <c:v>Rain Washout (NR)</c:v>
                </c:pt>
              </c:strCache>
            </c:strRef>
          </c:cat>
          <c:val>
            <c:numRef>
              <c:extLst>
                <c:ext xmlns:c15="http://schemas.microsoft.com/office/drawing/2012/chart" uri="{02D57815-91ED-43cb-92C2-25804820EDAC}">
                  <c15:fullRef>
                    <c15:sqref>'Regular Season'!$B$35:$B$41</c15:sqref>
                  </c15:fullRef>
                </c:ext>
              </c:extLst>
              <c:f>('Regular Season'!$B$35,'Regular Season'!$B$37,'Regular Season'!$B$39,'Regular Season'!$B$41)</c:f>
              <c:numCache>
                <c:formatCode>General</c:formatCode>
                <c:ptCount val="4"/>
                <c:pt idx="0">
                  <c:v>31</c:v>
                </c:pt>
                <c:pt idx="1">
                  <c:v>17</c:v>
                </c:pt>
                <c:pt idx="2">
                  <c:v>1</c:v>
                </c:pt>
                <c:pt idx="3">
                  <c:v>1</c:v>
                </c:pt>
              </c:numCache>
            </c:numRef>
          </c:val>
          <c:extLst>
            <c:ext xmlns:c15="http://schemas.microsoft.com/office/drawing/2012/chart" uri="{02D57815-91ED-43cb-92C2-25804820EDAC}">
              <c15:categoryFilterExceptions>
                <c15:categoryFilterException>
                  <c15:sqref>'Regular Season'!$B$36</c15:sqref>
                  <c15:spPr xmlns:c15="http://schemas.microsoft.com/office/drawing/2012/chart">
                    <a:solidFill>
                      <a:schemeClr val="accent2"/>
                    </a:solidFill>
                    <a:ln>
                      <a:noFill/>
                    </a:ln>
                    <a:effectLst>
                      <a:outerShdw blurRad="254000" sx="102000" sy="102000" algn="ctr" rotWithShape="0">
                        <a:prstClr val="black">
                          <a:alpha val="20000"/>
                        </a:prstClr>
                      </a:outerShdw>
                    </a:effectLst>
                    <a:sp3d/>
                  </c15:spPr>
                  <c15:bubble3D val="0"/>
                </c15:categoryFilterException>
                <c15:categoryFilterException>
                  <c15:sqref>'Regular Season'!$B$38</c15:sqref>
                  <c15:spPr xmlns:c15="http://schemas.microsoft.com/office/drawing/2012/chart">
                    <a:solidFill>
                      <a:schemeClr val="accent4"/>
                    </a:solidFill>
                    <a:ln>
                      <a:noFill/>
                    </a:ln>
                    <a:effectLst>
                      <a:outerShdw blurRad="254000" sx="102000" sy="102000" algn="ctr" rotWithShape="0">
                        <a:prstClr val="black">
                          <a:alpha val="20000"/>
                        </a:prstClr>
                      </a:outerShdw>
                    </a:effectLst>
                    <a:sp3d/>
                  </c15:spPr>
                  <c15:bubble3D val="0"/>
                </c15:categoryFilterException>
                <c15:categoryFilterException>
                  <c15:sqref>'Regular Season'!$B$40</c15:sqref>
                  <c15:spPr xmlns:c15="http://schemas.microsoft.com/office/drawing/2012/chart">
                    <a:solidFill>
                      <a:schemeClr val="accent6"/>
                    </a:solidFill>
                    <a:ln>
                      <a:noFill/>
                    </a:ln>
                    <a:effectLst>
                      <a:outerShdw blurRad="254000" sx="102000" sy="102000" algn="ctr" rotWithShape="0">
                        <a:prstClr val="black">
                          <a:alpha val="20000"/>
                        </a:prstClr>
                      </a:outerShdw>
                    </a:effectLst>
                    <a:sp3d/>
                  </c15:spPr>
                  <c15:bubble3D val="0"/>
                </c15:categoryFilterException>
              </c15:categoryFilterExceptions>
            </c:ext>
            <c:ext xmlns:c16="http://schemas.microsoft.com/office/drawing/2014/chart" uri="{C3380CC4-5D6E-409C-BE32-E72D297353CC}">
              <c16:uniqueId val="{0000000E-50E9-4BD9-AB16-659D6F429DD6}"/>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1"/>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Result</a:t>
            </a:r>
          </a:p>
        </c:rich>
      </c:tx>
      <c:overlay val="0"/>
      <c:spPr>
        <a:noFill/>
        <a:ln>
          <a:noFill/>
        </a:ln>
        <a:effectLst/>
      </c:spPr>
    </c:title>
    <c:autoTitleDeleted val="0"/>
    <c:plotArea>
      <c:layout/>
      <c:barChart>
        <c:barDir val="col"/>
        <c:grouping val="clustered"/>
        <c:varyColors val="1"/>
        <c:ser>
          <c:idx val="0"/>
          <c:order val="0"/>
          <c:tx>
            <c:strRef>
              <c:f>'Regular Season'!$BV$3</c:f>
              <c:strCache>
                <c:ptCount val="1"/>
                <c:pt idx="0">
                  <c:v>Win</c:v>
                </c:pt>
              </c:strCache>
            </c:strRef>
          </c:tx>
          <c:spPr>
            <a:noFill/>
            <a:ln w="9525" cap="flat" cmpd="sng" algn="ctr">
              <a:solidFill>
                <a:schemeClr val="accent1"/>
              </a:solidFill>
              <a:miter lim="800000"/>
            </a:ln>
            <a:effectLst>
              <a:glow rad="63500">
                <a:schemeClr val="accent1">
                  <a:satMod val="175000"/>
                  <a:alpha val="25000"/>
                </a:schemeClr>
              </a:glow>
            </a:effectLst>
          </c:spPr>
          <c:invertIfNegative val="1"/>
          <c:cat>
            <c:strRef>
              <c:f>'Regular Season'!$BU$4:$BU$13</c:f>
              <c:strCache>
                <c:ptCount val="10"/>
                <c:pt idx="0">
                  <c:v>CSK</c:v>
                </c:pt>
                <c:pt idx="1">
                  <c:v>DC</c:v>
                </c:pt>
                <c:pt idx="2">
                  <c:v>GT</c:v>
                </c:pt>
                <c:pt idx="3">
                  <c:v>KKR</c:v>
                </c:pt>
                <c:pt idx="4">
                  <c:v>LSG</c:v>
                </c:pt>
                <c:pt idx="5">
                  <c:v>MI</c:v>
                </c:pt>
                <c:pt idx="6">
                  <c:v>PBKS</c:v>
                </c:pt>
                <c:pt idx="7">
                  <c:v>RR</c:v>
                </c:pt>
                <c:pt idx="8">
                  <c:v>RCB</c:v>
                </c:pt>
                <c:pt idx="9">
                  <c:v>SRH</c:v>
                </c:pt>
              </c:strCache>
            </c:strRef>
          </c:cat>
          <c:val>
            <c:numRef>
              <c:f>'Regular Season'!$BV$4:$BV$13</c:f>
              <c:numCache>
                <c:formatCode>General</c:formatCode>
                <c:ptCount val="10"/>
                <c:pt idx="0">
                  <c:v>5</c:v>
                </c:pt>
                <c:pt idx="1">
                  <c:v>4</c:v>
                </c:pt>
                <c:pt idx="2">
                  <c:v>6</c:v>
                </c:pt>
                <c:pt idx="3">
                  <c:v>3</c:v>
                </c:pt>
                <c:pt idx="4">
                  <c:v>3</c:v>
                </c:pt>
                <c:pt idx="5">
                  <c:v>3</c:v>
                </c:pt>
                <c:pt idx="6">
                  <c:v>6</c:v>
                </c:pt>
                <c:pt idx="7">
                  <c:v>6</c:v>
                </c:pt>
                <c:pt idx="8">
                  <c:v>6</c:v>
                </c:pt>
                <c:pt idx="9">
                  <c:v>7</c:v>
                </c:pt>
              </c:numCache>
            </c:numRef>
          </c:val>
          <c:extLst>
            <c:ext xmlns:c16="http://schemas.microsoft.com/office/drawing/2014/chart" uri="{C3380CC4-5D6E-409C-BE32-E72D297353CC}">
              <c16:uniqueId val="{00000000-6879-4E3B-947A-EA710A3C29CD}"/>
            </c:ext>
          </c:extLst>
        </c:ser>
        <c:ser>
          <c:idx val="1"/>
          <c:order val="1"/>
          <c:tx>
            <c:strRef>
              <c:f>'Regular Season'!$BW$3</c:f>
              <c:strCache>
                <c:ptCount val="1"/>
                <c:pt idx="0">
                  <c:v>Loss</c:v>
                </c:pt>
              </c:strCache>
            </c:strRef>
          </c:tx>
          <c:spPr>
            <a:noFill/>
            <a:ln w="9525" cap="flat" cmpd="sng" algn="ctr">
              <a:solidFill>
                <a:schemeClr val="accent2"/>
              </a:solidFill>
              <a:miter lim="800000"/>
            </a:ln>
            <a:effectLst>
              <a:glow rad="63500">
                <a:schemeClr val="accent2">
                  <a:satMod val="175000"/>
                  <a:alpha val="25000"/>
                </a:schemeClr>
              </a:glow>
            </a:effectLst>
          </c:spPr>
          <c:invertIfNegative val="1"/>
          <c:cat>
            <c:strRef>
              <c:f>'Regular Season'!$BU$4:$BU$13</c:f>
              <c:strCache>
                <c:ptCount val="10"/>
                <c:pt idx="0">
                  <c:v>CSK</c:v>
                </c:pt>
                <c:pt idx="1">
                  <c:v>DC</c:v>
                </c:pt>
                <c:pt idx="2">
                  <c:v>GT</c:v>
                </c:pt>
                <c:pt idx="3">
                  <c:v>KKR</c:v>
                </c:pt>
                <c:pt idx="4">
                  <c:v>LSG</c:v>
                </c:pt>
                <c:pt idx="5">
                  <c:v>MI</c:v>
                </c:pt>
                <c:pt idx="6">
                  <c:v>PBKS</c:v>
                </c:pt>
                <c:pt idx="7">
                  <c:v>RR</c:v>
                </c:pt>
                <c:pt idx="8">
                  <c:v>RCB</c:v>
                </c:pt>
                <c:pt idx="9">
                  <c:v>SRH</c:v>
                </c:pt>
              </c:strCache>
            </c:strRef>
          </c:cat>
          <c:val>
            <c:numRef>
              <c:f>'Regular Season'!$BW$4:$BW$13</c:f>
              <c:numCache>
                <c:formatCode>General</c:formatCode>
                <c:ptCount val="10"/>
                <c:pt idx="0">
                  <c:v>5</c:v>
                </c:pt>
                <c:pt idx="1">
                  <c:v>6</c:v>
                </c:pt>
                <c:pt idx="2">
                  <c:v>4</c:v>
                </c:pt>
                <c:pt idx="3">
                  <c:v>5</c:v>
                </c:pt>
                <c:pt idx="4">
                  <c:v>7</c:v>
                </c:pt>
                <c:pt idx="5">
                  <c:v>7</c:v>
                </c:pt>
                <c:pt idx="6">
                  <c:v>3</c:v>
                </c:pt>
                <c:pt idx="7">
                  <c:v>4</c:v>
                </c:pt>
                <c:pt idx="8">
                  <c:v>4</c:v>
                </c:pt>
                <c:pt idx="9">
                  <c:v>4</c:v>
                </c:pt>
              </c:numCache>
            </c:numRef>
          </c:val>
          <c:extLst>
            <c:ext xmlns:c16="http://schemas.microsoft.com/office/drawing/2014/chart" uri="{C3380CC4-5D6E-409C-BE32-E72D297353CC}">
              <c16:uniqueId val="{00000001-6879-4E3B-947A-EA710A3C29CD}"/>
            </c:ext>
          </c:extLst>
        </c:ser>
        <c:ser>
          <c:idx val="2"/>
          <c:order val="2"/>
          <c:tx>
            <c:strRef>
              <c:f>'Regular Season'!$BX$3</c:f>
              <c:strCache>
                <c:ptCount val="1"/>
                <c:pt idx="0">
                  <c:v>NR</c:v>
                </c:pt>
              </c:strCache>
            </c:strRef>
          </c:tx>
          <c:spPr>
            <a:noFill/>
            <a:ln w="9525" cap="flat" cmpd="sng" algn="ctr">
              <a:solidFill>
                <a:schemeClr val="accent3"/>
              </a:solidFill>
              <a:miter lim="800000"/>
            </a:ln>
            <a:effectLst>
              <a:glow rad="63500">
                <a:schemeClr val="accent3">
                  <a:satMod val="175000"/>
                  <a:alpha val="25000"/>
                </a:schemeClr>
              </a:glow>
            </a:effectLst>
          </c:spPr>
          <c:invertIfNegative val="1"/>
          <c:cat>
            <c:strRef>
              <c:f>'Regular Season'!$BU$4:$BU$13</c:f>
              <c:strCache>
                <c:ptCount val="10"/>
                <c:pt idx="0">
                  <c:v>CSK</c:v>
                </c:pt>
                <c:pt idx="1">
                  <c:v>DC</c:v>
                </c:pt>
                <c:pt idx="2">
                  <c:v>GT</c:v>
                </c:pt>
                <c:pt idx="3">
                  <c:v>KKR</c:v>
                </c:pt>
                <c:pt idx="4">
                  <c:v>LSG</c:v>
                </c:pt>
                <c:pt idx="5">
                  <c:v>MI</c:v>
                </c:pt>
                <c:pt idx="6">
                  <c:v>PBKS</c:v>
                </c:pt>
                <c:pt idx="7">
                  <c:v>RR</c:v>
                </c:pt>
                <c:pt idx="8">
                  <c:v>RCB</c:v>
                </c:pt>
                <c:pt idx="9">
                  <c:v>SRH</c:v>
                </c:pt>
              </c:strCache>
            </c:strRef>
          </c:cat>
          <c:val>
            <c:numRef>
              <c:f>'Regular Season'!$BX$4:$BX$13</c:f>
              <c:numCache>
                <c:formatCode>General</c:formatCode>
                <c:ptCount val="10"/>
                <c:pt idx="3">
                  <c:v>1</c:v>
                </c:pt>
                <c:pt idx="6">
                  <c:v>1</c:v>
                </c:pt>
              </c:numCache>
            </c:numRef>
          </c:val>
          <c:extLst>
            <c:ext xmlns:c16="http://schemas.microsoft.com/office/drawing/2014/chart" uri="{C3380CC4-5D6E-409C-BE32-E72D297353CC}">
              <c16:uniqueId val="{00000002-6879-4E3B-947A-EA710A3C29CD}"/>
            </c:ext>
          </c:extLst>
        </c:ser>
        <c:dLbls>
          <c:showLegendKey val="0"/>
          <c:showVal val="0"/>
          <c:showCatName val="0"/>
          <c:showSerName val="0"/>
          <c:showPercent val="0"/>
          <c:showBubbleSize val="0"/>
        </c:dLbls>
        <c:gapWidth val="315"/>
        <c:overlap val="-40"/>
        <c:axId val="1511983926"/>
        <c:axId val="11691630"/>
      </c:barChart>
      <c:catAx>
        <c:axId val="151198392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91630"/>
        <c:crosses val="autoZero"/>
        <c:auto val="1"/>
        <c:lblAlgn val="ctr"/>
        <c:lblOffset val="100"/>
        <c:noMultiLvlLbl val="1"/>
      </c:catAx>
      <c:valAx>
        <c:axId val="1169163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1983926"/>
        <c:crosses val="autoZero"/>
        <c:crossBetween val="between"/>
      </c:valAx>
      <c:spPr>
        <a:noFill/>
        <a:ln>
          <a:noFill/>
        </a:ln>
        <a:effectLst/>
      </c:spPr>
    </c:plotArea>
    <c:plotVisOnly val="0"/>
    <c:dispBlanksAs val="zero"/>
    <c:showDLblsOverMax val="1"/>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800" b="1" i="0">
                <a:solidFill>
                  <a:schemeClr val="dk1"/>
                </a:solidFill>
                <a:latin typeface="+mn-lt"/>
              </a:defRPr>
            </a:pPr>
            <a:r>
              <a:rPr lang="en-US" sz="1800" b="1" i="0">
                <a:solidFill>
                  <a:schemeClr val="dk1"/>
                </a:solidFill>
                <a:latin typeface="+mn-lt"/>
              </a:rPr>
              <a:t>Orange Cap</a:t>
            </a:r>
          </a:p>
        </c:rich>
      </c:tx>
      <c:overlay val="0"/>
    </c:title>
    <c:autoTitleDeleted val="0"/>
    <c:plotArea>
      <c:layout/>
      <c:barChart>
        <c:barDir val="col"/>
        <c:grouping val="clustered"/>
        <c:varyColors val="1"/>
        <c:ser>
          <c:idx val="0"/>
          <c:order val="0"/>
          <c:tx>
            <c:v>Runs</c:v>
          </c:tx>
          <c:spPr>
            <a:solidFill>
              <a:srgbClr val="FFA767"/>
            </a:solidFill>
            <a:ln cmpd="sng">
              <a:solidFill>
                <a:srgbClr val="000000"/>
              </a:solidFill>
            </a:ln>
          </c:spPr>
          <c:invertIfNegative val="1"/>
          <c:dPt>
            <c:idx val="0"/>
            <c:invertIfNegative val="1"/>
            <c:bubble3D val="0"/>
            <c:spPr>
              <a:solidFill>
                <a:srgbClr val="FFFF00"/>
              </a:solidFill>
              <a:ln cmpd="sng">
                <a:solidFill>
                  <a:srgbClr val="000000"/>
                </a:solidFill>
              </a:ln>
            </c:spPr>
            <c:extLst>
              <c:ext xmlns:c16="http://schemas.microsoft.com/office/drawing/2014/chart" uri="{C3380CC4-5D6E-409C-BE32-E72D297353CC}">
                <c16:uniqueId val="{00000000-0A3D-49C5-AFCB-F843614DF3D4}"/>
              </c:ext>
            </c:extLst>
          </c:dPt>
          <c:dPt>
            <c:idx val="1"/>
            <c:invertIfNegative val="1"/>
            <c:bubble3D val="0"/>
            <c:spPr>
              <a:solidFill>
                <a:srgbClr val="004BA0"/>
              </a:solidFill>
              <a:ln cmpd="sng">
                <a:solidFill>
                  <a:srgbClr val="000000"/>
                </a:solidFill>
              </a:ln>
            </c:spPr>
            <c:extLst>
              <c:ext xmlns:c16="http://schemas.microsoft.com/office/drawing/2014/chart" uri="{C3380CC4-5D6E-409C-BE32-E72D297353CC}">
                <c16:uniqueId val="{00000001-0A3D-49C5-AFCB-F843614DF3D4}"/>
              </c:ext>
            </c:extLst>
          </c:dPt>
          <c:dPt>
            <c:idx val="2"/>
            <c:invertIfNegative val="1"/>
            <c:bubble3D val="0"/>
            <c:spPr>
              <a:solidFill>
                <a:srgbClr val="DBBE6E"/>
              </a:solidFill>
              <a:ln cmpd="sng">
                <a:solidFill>
                  <a:srgbClr val="000000"/>
                </a:solidFill>
              </a:ln>
            </c:spPr>
            <c:extLst>
              <c:ext xmlns:c16="http://schemas.microsoft.com/office/drawing/2014/chart" uri="{C3380CC4-5D6E-409C-BE32-E72D297353CC}">
                <c16:uniqueId val="{00000002-0A3D-49C5-AFCB-F843614DF3D4}"/>
              </c:ext>
            </c:extLst>
          </c:dPt>
          <c:dPt>
            <c:idx val="3"/>
            <c:invertIfNegative val="1"/>
            <c:bubble3D val="0"/>
            <c:spPr>
              <a:solidFill>
                <a:srgbClr val="021B3A"/>
              </a:solidFill>
              <a:ln cmpd="sng">
                <a:solidFill>
                  <a:srgbClr val="000000"/>
                </a:solidFill>
              </a:ln>
            </c:spPr>
            <c:extLst>
              <c:ext xmlns:c16="http://schemas.microsoft.com/office/drawing/2014/chart" uri="{C3380CC4-5D6E-409C-BE32-E72D297353CC}">
                <c16:uniqueId val="{00000003-0A3D-49C5-AFCB-F843614DF3D4}"/>
              </c:ext>
            </c:extLst>
          </c:dPt>
          <c:dPt>
            <c:idx val="4"/>
            <c:invertIfNegative val="1"/>
            <c:bubble3D val="0"/>
            <c:spPr>
              <a:solidFill>
                <a:srgbClr val="FFCCFF"/>
              </a:solidFill>
              <a:ln cmpd="sng">
                <a:solidFill>
                  <a:srgbClr val="000000"/>
                </a:solidFill>
              </a:ln>
            </c:spPr>
            <c:extLst>
              <c:ext xmlns:c16="http://schemas.microsoft.com/office/drawing/2014/chart" uri="{C3380CC4-5D6E-409C-BE32-E72D297353CC}">
                <c16:uniqueId val="{00000004-0A3D-49C5-AFCB-F843614DF3D4}"/>
              </c:ext>
            </c:extLst>
          </c:dPt>
          <c:dPt>
            <c:idx val="5"/>
            <c:invertIfNegative val="1"/>
            <c:bubble3D val="0"/>
            <c:spPr>
              <a:solidFill>
                <a:srgbClr val="D71921"/>
              </a:solidFill>
              <a:ln cmpd="sng">
                <a:solidFill>
                  <a:srgbClr val="000000"/>
                </a:solidFill>
              </a:ln>
            </c:spPr>
            <c:extLst>
              <c:ext xmlns:c16="http://schemas.microsoft.com/office/drawing/2014/chart" uri="{C3380CC4-5D6E-409C-BE32-E72D297353CC}">
                <c16:uniqueId val="{00000005-0A3D-49C5-AFCB-F843614DF3D4}"/>
              </c:ext>
            </c:extLst>
          </c:dPt>
          <c:dPt>
            <c:idx val="6"/>
            <c:invertIfNegative val="1"/>
            <c:bubble3D val="0"/>
            <c:spPr>
              <a:solidFill>
                <a:srgbClr val="A7A9AC"/>
              </a:solidFill>
              <a:ln cmpd="sng">
                <a:solidFill>
                  <a:srgbClr val="000000"/>
                </a:solidFill>
              </a:ln>
            </c:spPr>
            <c:extLst>
              <c:ext xmlns:c16="http://schemas.microsoft.com/office/drawing/2014/chart" uri="{C3380CC4-5D6E-409C-BE32-E72D297353CC}">
                <c16:uniqueId val="{00000006-0A3D-49C5-AFCB-F843614DF3D4}"/>
              </c:ext>
            </c:extLst>
          </c:dPt>
          <c:dPt>
            <c:idx val="7"/>
            <c:invertIfNegative val="1"/>
            <c:bubble3D val="0"/>
            <c:spPr>
              <a:solidFill>
                <a:srgbClr val="7BAFD4"/>
              </a:solidFill>
              <a:ln cmpd="sng">
                <a:solidFill>
                  <a:srgbClr val="000000"/>
                </a:solidFill>
              </a:ln>
            </c:spPr>
            <c:extLst>
              <c:ext xmlns:c16="http://schemas.microsoft.com/office/drawing/2014/chart" uri="{C3380CC4-5D6E-409C-BE32-E72D297353CC}">
                <c16:uniqueId val="{00000007-0A3D-49C5-AFCB-F843614DF3D4}"/>
              </c:ext>
            </c:extLst>
          </c:dPt>
          <c:dPt>
            <c:idx val="8"/>
            <c:invertIfNegative val="1"/>
            <c:bubble3D val="0"/>
            <c:spPr>
              <a:solidFill>
                <a:srgbClr val="7030A0"/>
              </a:solidFill>
              <a:ln cmpd="sng">
                <a:solidFill>
                  <a:srgbClr val="000000"/>
                </a:solidFill>
              </a:ln>
            </c:spPr>
            <c:extLst>
              <c:ext xmlns:c16="http://schemas.microsoft.com/office/drawing/2014/chart" uri="{C3380CC4-5D6E-409C-BE32-E72D297353CC}">
                <c16:uniqueId val="{00000008-0A3D-49C5-AFCB-F843614DF3D4}"/>
              </c:ext>
            </c:extLst>
          </c:dPt>
          <c:dPt>
            <c:idx val="9"/>
            <c:invertIfNegative val="1"/>
            <c:bubble3D val="0"/>
            <c:spPr>
              <a:solidFill>
                <a:srgbClr val="EE7429"/>
              </a:solidFill>
              <a:ln cmpd="sng">
                <a:solidFill>
                  <a:srgbClr val="000000"/>
                </a:solidFill>
              </a:ln>
            </c:spPr>
            <c:extLst>
              <c:ext xmlns:c16="http://schemas.microsoft.com/office/drawing/2014/chart" uri="{C3380CC4-5D6E-409C-BE32-E72D297353CC}">
                <c16:uniqueId val="{00000009-0A3D-49C5-AFCB-F843614DF3D4}"/>
              </c:ext>
            </c:extLst>
          </c:dPt>
          <c:dLbls>
            <c:spPr>
              <a:noFill/>
              <a:ln>
                <a:noFill/>
              </a:ln>
              <a:effectLst/>
            </c:spPr>
            <c:txPr>
              <a:bodyPr/>
              <a:lstStyle/>
              <a:p>
                <a:pPr lvl="0">
                  <a:defRPr sz="900" b="1" i="0">
                    <a:solidFill>
                      <a:srgbClr val="000000"/>
                    </a:solidFill>
                    <a:latin typeface="+mn-l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'Regular Season'!$BU$17:$BU$26</c:f>
              <c:strCache>
                <c:ptCount val="10"/>
                <c:pt idx="0">
                  <c:v>CSK</c:v>
                </c:pt>
                <c:pt idx="1">
                  <c:v>MI</c:v>
                </c:pt>
                <c:pt idx="2">
                  <c:v>GT</c:v>
                </c:pt>
                <c:pt idx="3">
                  <c:v>RCB</c:v>
                </c:pt>
                <c:pt idx="4">
                  <c:v>RR</c:v>
                </c:pt>
                <c:pt idx="5">
                  <c:v>DC</c:v>
                </c:pt>
                <c:pt idx="6">
                  <c:v>PBKS</c:v>
                </c:pt>
                <c:pt idx="7">
                  <c:v>LSG</c:v>
                </c:pt>
                <c:pt idx="8">
                  <c:v>KKR</c:v>
                </c:pt>
                <c:pt idx="9">
                  <c:v>SRH</c:v>
                </c:pt>
              </c:strCache>
            </c:strRef>
          </c:cat>
          <c:val>
            <c:numRef>
              <c:f>'Regular Season'!$BV$17:$BV$26</c:f>
              <c:numCache>
                <c:formatCode>General</c:formatCode>
                <c:ptCount val="10"/>
                <c:pt idx="0">
                  <c:v>1815</c:v>
                </c:pt>
                <c:pt idx="1">
                  <c:v>1860</c:v>
                </c:pt>
                <c:pt idx="2">
                  <c:v>1714</c:v>
                </c:pt>
                <c:pt idx="3">
                  <c:v>1860</c:v>
                </c:pt>
                <c:pt idx="4">
                  <c:v>1844</c:v>
                </c:pt>
                <c:pt idx="5">
                  <c:v>1801</c:v>
                </c:pt>
                <c:pt idx="6">
                  <c:v>1902</c:v>
                </c:pt>
                <c:pt idx="7">
                  <c:v>1705</c:v>
                </c:pt>
                <c:pt idx="8">
                  <c:v>1416</c:v>
                </c:pt>
                <c:pt idx="9">
                  <c:v>2332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8644-4834-9508-AB21BAD6D2D5}"/>
            </c:ext>
          </c:extLst>
        </c:ser>
        <c:dLbls>
          <c:showLegendKey val="0"/>
          <c:showVal val="0"/>
          <c:showCatName val="0"/>
          <c:showSerName val="0"/>
          <c:showPercent val="0"/>
          <c:showBubbleSize val="0"/>
        </c:dLbls>
        <c:gapWidth val="150"/>
        <c:axId val="109049227"/>
        <c:axId val="1071762310"/>
      </c:barChart>
      <c:catAx>
        <c:axId val="10904922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900" b="0" i="0">
                <a:solidFill>
                  <a:schemeClr val="dk1"/>
                </a:solidFill>
                <a:latin typeface="+mn-lt"/>
              </a:defRPr>
            </a:pPr>
            <a:endParaRPr lang="en-US"/>
          </a:p>
        </c:txPr>
        <c:crossAx val="1071762310"/>
        <c:crosses val="autoZero"/>
        <c:auto val="1"/>
        <c:lblAlgn val="ctr"/>
        <c:lblOffset val="100"/>
        <c:noMultiLvlLbl val="1"/>
      </c:catAx>
      <c:valAx>
        <c:axId val="107176231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09049227"/>
        <c:crosses val="autoZero"/>
        <c:crossBetween val="between"/>
      </c:valAx>
    </c:plotArea>
    <c:plotVisOnly val="1"/>
    <c:dispBlanksAs val="zero"/>
    <c:showDLblsOverMax val="1"/>
  </c:chart>
  <c:spPr>
    <a:solidFill>
      <a:srgbClr val="D8BFD8"/>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Purple Cap</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0-B407-4345-99D1-C690AA5BB94C}"/>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B407-4345-99D1-C690AA5BB94C}"/>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B407-4345-99D1-C690AA5BB94C}"/>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B407-4345-99D1-C690AA5BB94C}"/>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B407-4345-99D1-C690AA5BB94C}"/>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B407-4345-99D1-C690AA5BB94C}"/>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B407-4345-99D1-C690AA5BB94C}"/>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B407-4345-99D1-C690AA5BB94C}"/>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B407-4345-99D1-C690AA5BB94C}"/>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B407-4345-99D1-C690AA5BB94C}"/>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0-B407-4345-99D1-C690AA5BB94C}"/>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1-B407-4345-99D1-C690AA5BB94C}"/>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2-B407-4345-99D1-C690AA5BB94C}"/>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3-B407-4345-99D1-C690AA5BB94C}"/>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4-B407-4345-99D1-C690AA5BB94C}"/>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5-B407-4345-99D1-C690AA5BB94C}"/>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6-B407-4345-99D1-C690AA5BB94C}"/>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7-B407-4345-99D1-C690AA5BB94C}"/>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8-B407-4345-99D1-C690AA5BB94C}"/>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9-B407-4345-99D1-C690AA5BB94C}"/>
                </c:ext>
              </c:extLst>
            </c:dLbl>
            <c:spPr>
              <a:noFill/>
              <a:ln>
                <a:noFill/>
              </a:ln>
              <a:effectLst/>
            </c:spPr>
            <c:dLblPos val="outEnd"/>
            <c:showLegendKey val="0"/>
            <c:showVal val="1"/>
            <c:showCatName val="1"/>
            <c:showSerName val="0"/>
            <c:showPercent val="0"/>
            <c:showBubbleSize val="0"/>
            <c:showLeaderLines val="0"/>
            <c:extLst>
              <c:ext xmlns:c15="http://schemas.microsoft.com/office/drawing/2012/chart" uri="{CE6537A1-D6FC-4f65-9D91-7224C49458BB}"/>
            </c:extLst>
          </c:dLbls>
          <c:cat>
            <c:strRef>
              <c:f>'Regular Season'!$BW$17:$BW$26</c:f>
              <c:strCache>
                <c:ptCount val="10"/>
                <c:pt idx="0">
                  <c:v>CSK</c:v>
                </c:pt>
                <c:pt idx="1">
                  <c:v>MI</c:v>
                </c:pt>
                <c:pt idx="2">
                  <c:v>GT</c:v>
                </c:pt>
                <c:pt idx="3">
                  <c:v>RCB</c:v>
                </c:pt>
                <c:pt idx="4">
                  <c:v>RR</c:v>
                </c:pt>
                <c:pt idx="5">
                  <c:v>DC</c:v>
                </c:pt>
                <c:pt idx="6">
                  <c:v>PBKS</c:v>
                </c:pt>
                <c:pt idx="7">
                  <c:v>LSG</c:v>
                </c:pt>
                <c:pt idx="8">
                  <c:v>KKR</c:v>
                </c:pt>
                <c:pt idx="9">
                  <c:v>SRH</c:v>
                </c:pt>
              </c:strCache>
            </c:strRef>
          </c:cat>
          <c:val>
            <c:numRef>
              <c:f>'Regular Season'!$BX$17:$BX$26</c:f>
              <c:numCache>
                <c:formatCode>General</c:formatCode>
                <c:ptCount val="10"/>
                <c:pt idx="0">
                  <c:v>62</c:v>
                </c:pt>
                <c:pt idx="1">
                  <c:v>45</c:v>
                </c:pt>
                <c:pt idx="2">
                  <c:v>75</c:v>
                </c:pt>
                <c:pt idx="3">
                  <c:v>64</c:v>
                </c:pt>
                <c:pt idx="4">
                  <c:v>69</c:v>
                </c:pt>
                <c:pt idx="5">
                  <c:v>45</c:v>
                </c:pt>
                <c:pt idx="6">
                  <c:v>49</c:v>
                </c:pt>
                <c:pt idx="7">
                  <c:v>55</c:v>
                </c:pt>
                <c:pt idx="8">
                  <c:v>58</c:v>
                </c:pt>
                <c:pt idx="9">
                  <c:v>71</c:v>
                </c:pt>
              </c:numCache>
            </c:numRef>
          </c:val>
          <c:extLst>
            <c:ext xmlns:c16="http://schemas.microsoft.com/office/drawing/2014/chart" uri="{C3380CC4-5D6E-409C-BE32-E72D297353CC}">
              <c16:uniqueId val="{00000000-83FC-40EC-8BF7-49F0D0B69170}"/>
            </c:ext>
          </c:extLst>
        </c:ser>
        <c:dLbls>
          <c:dLblPos val="outEnd"/>
          <c:showLegendKey val="0"/>
          <c:showVal val="0"/>
          <c:showCatName val="1"/>
          <c:showSerName val="0"/>
          <c:showPercent val="0"/>
          <c:showBubbleSize val="0"/>
          <c:showLeaderLines val="0"/>
        </c:dLbls>
        <c:firstSliceAng val="0"/>
      </c:pieChart>
      <c:spPr>
        <a:noFill/>
        <a:ln>
          <a:noFill/>
        </a:ln>
        <a:effectLst/>
      </c:spPr>
    </c:plotArea>
    <c:plotVisOnly val="1"/>
    <c:dispBlanksAs val="zero"/>
    <c:showDLblsOverMax val="1"/>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1" i="0">
                <a:solidFill>
                  <a:srgbClr val="757575"/>
                </a:solidFill>
                <a:latin typeface="+mn-lt"/>
              </a:defRPr>
            </a:pPr>
            <a:r>
              <a:rPr lang="en-US" sz="1400" b="1" i="0">
                <a:solidFill>
                  <a:srgbClr val="757575"/>
                </a:solidFill>
                <a:latin typeface="+mn-lt"/>
              </a:rPr>
              <a:t>Boundries</a:t>
            </a:r>
          </a:p>
        </c:rich>
      </c:tx>
      <c:overlay val="0"/>
    </c:title>
    <c:autoTitleDeleted val="0"/>
    <c:plotArea>
      <c:layout/>
      <c:barChart>
        <c:barDir val="bar"/>
        <c:grouping val="stacked"/>
        <c:varyColors val="1"/>
        <c:ser>
          <c:idx val="0"/>
          <c:order val="0"/>
          <c:spPr>
            <a:solidFill>
              <a:srgbClr val="021B3A"/>
            </a:solidFill>
            <a:ln cmpd="sng">
              <a:solidFill>
                <a:srgbClr val="000000"/>
              </a:solidFill>
            </a:ln>
          </c:spPr>
          <c:invertIfNegative val="1"/>
          <c:dLbls>
            <c:spPr>
              <a:noFill/>
              <a:ln>
                <a:noFill/>
              </a:ln>
              <a:effectLst/>
            </c:spPr>
            <c:txPr>
              <a:bodyPr/>
              <a:lstStyle/>
              <a:p>
                <a:pPr lvl="0">
                  <a:defRPr sz="900" b="1" i="0" baseline="0">
                    <a:solidFill>
                      <a:schemeClr val="bg2"/>
                    </a:solidFill>
                    <a:latin typeface="+mn-l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'Regular Season'!$BY$17:$BY$26</c:f>
              <c:strCache>
                <c:ptCount val="10"/>
                <c:pt idx="0">
                  <c:v>CSK</c:v>
                </c:pt>
                <c:pt idx="1">
                  <c:v>MI</c:v>
                </c:pt>
                <c:pt idx="2">
                  <c:v>GT</c:v>
                </c:pt>
                <c:pt idx="3">
                  <c:v>RCB</c:v>
                </c:pt>
                <c:pt idx="4">
                  <c:v>RR</c:v>
                </c:pt>
                <c:pt idx="5">
                  <c:v>DC</c:v>
                </c:pt>
                <c:pt idx="6">
                  <c:v>PBKS</c:v>
                </c:pt>
                <c:pt idx="7">
                  <c:v>LSG</c:v>
                </c:pt>
                <c:pt idx="8">
                  <c:v>KKR</c:v>
                </c:pt>
                <c:pt idx="9">
                  <c:v>SRH</c:v>
                </c:pt>
              </c:strCache>
            </c:strRef>
          </c:cat>
          <c:val>
            <c:numRef>
              <c:f>'Regular Season'!$BZ$17:$BZ$26</c:f>
              <c:numCache>
                <c:formatCode>General</c:formatCode>
                <c:ptCount val="10"/>
                <c:pt idx="0">
                  <c:v>167</c:v>
                </c:pt>
                <c:pt idx="1">
                  <c:v>156</c:v>
                </c:pt>
                <c:pt idx="2">
                  <c:v>157</c:v>
                </c:pt>
                <c:pt idx="3">
                  <c:v>149</c:v>
                </c:pt>
                <c:pt idx="4">
                  <c:v>160</c:v>
                </c:pt>
                <c:pt idx="5">
                  <c:v>161</c:v>
                </c:pt>
                <c:pt idx="6">
                  <c:v>147</c:v>
                </c:pt>
                <c:pt idx="7">
                  <c:v>137</c:v>
                </c:pt>
                <c:pt idx="8">
                  <c:v>120</c:v>
                </c:pt>
                <c:pt idx="9">
                  <c:v>192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5="http://schemas.microsoft.com/office/drawing/2012/chart" uri="{02D57815-91ED-43cb-92C2-25804820EDAC}">
              <c15:filteredSeriesTitle>
                <c15:tx>
                  <c:v>4's</c:v>
                </c15:tx>
              </c15:filteredSeriesTitle>
            </c:ext>
            <c:ext xmlns:c16="http://schemas.microsoft.com/office/drawing/2014/chart" uri="{C3380CC4-5D6E-409C-BE32-E72D297353CC}">
              <c16:uniqueId val="{00000000-857A-4E6F-ACFB-C15553E4F402}"/>
            </c:ext>
          </c:extLst>
        </c:ser>
        <c:ser>
          <c:idx val="1"/>
          <c:order val="1"/>
          <c:spPr>
            <a:solidFill>
              <a:srgbClr val="EA4335"/>
            </a:solidFill>
            <a:ln cmpd="sng">
              <a:solidFill>
                <a:srgbClr val="000000"/>
              </a:solidFill>
            </a:ln>
          </c:spPr>
          <c:invertIfNegative val="1"/>
          <c:dLbls>
            <c:spPr>
              <a:noFill/>
              <a:ln>
                <a:noFill/>
              </a:ln>
              <a:effectLst/>
            </c:spPr>
            <c:txPr>
              <a:bodyPr/>
              <a:lstStyle/>
              <a:p>
                <a:pPr lvl="0">
                  <a:defRPr sz="900" b="1" i="0">
                    <a:latin typeface="+mn-l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'Regular Season'!$BY$17:$BY$26</c:f>
              <c:strCache>
                <c:ptCount val="10"/>
                <c:pt idx="0">
                  <c:v>CSK</c:v>
                </c:pt>
                <c:pt idx="1">
                  <c:v>MI</c:v>
                </c:pt>
                <c:pt idx="2">
                  <c:v>GT</c:v>
                </c:pt>
                <c:pt idx="3">
                  <c:v>RCB</c:v>
                </c:pt>
                <c:pt idx="4">
                  <c:v>RR</c:v>
                </c:pt>
                <c:pt idx="5">
                  <c:v>DC</c:v>
                </c:pt>
                <c:pt idx="6">
                  <c:v>PBKS</c:v>
                </c:pt>
                <c:pt idx="7">
                  <c:v>LSG</c:v>
                </c:pt>
                <c:pt idx="8">
                  <c:v>KKR</c:v>
                </c:pt>
                <c:pt idx="9">
                  <c:v>SRH</c:v>
                </c:pt>
              </c:strCache>
            </c:strRef>
          </c:cat>
          <c:val>
            <c:numRef>
              <c:f>'Regular Season'!$CA$17:$CA$26</c:f>
              <c:numCache>
                <c:formatCode>General</c:formatCode>
                <c:ptCount val="10"/>
                <c:pt idx="0">
                  <c:v>80</c:v>
                </c:pt>
                <c:pt idx="1">
                  <c:v>97</c:v>
                </c:pt>
                <c:pt idx="2">
                  <c:v>69</c:v>
                </c:pt>
                <c:pt idx="3">
                  <c:v>110</c:v>
                </c:pt>
                <c:pt idx="4">
                  <c:v>100</c:v>
                </c:pt>
                <c:pt idx="5">
                  <c:v>80</c:v>
                </c:pt>
                <c:pt idx="6">
                  <c:v>121</c:v>
                </c:pt>
                <c:pt idx="7">
                  <c:v>83</c:v>
                </c:pt>
                <c:pt idx="8">
                  <c:v>62</c:v>
                </c:pt>
                <c:pt idx="9">
                  <c:v>134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5="http://schemas.microsoft.com/office/drawing/2012/chart" uri="{02D57815-91ED-43cb-92C2-25804820EDAC}">
              <c15:filteredSeriesTitle>
                <c15:tx>
                  <c:v>6's</c:v>
                </c15:tx>
              </c15:filteredSeriesTitle>
            </c:ext>
            <c:ext xmlns:c16="http://schemas.microsoft.com/office/drawing/2014/chart" uri="{C3380CC4-5D6E-409C-BE32-E72D297353CC}">
              <c16:uniqueId val="{00000001-857A-4E6F-ACFB-C15553E4F402}"/>
            </c:ext>
          </c:extLst>
        </c:ser>
        <c:dLbls>
          <c:showLegendKey val="0"/>
          <c:showVal val="0"/>
          <c:showCatName val="0"/>
          <c:showSerName val="0"/>
          <c:showPercent val="0"/>
          <c:showBubbleSize val="0"/>
        </c:dLbls>
        <c:gapWidth val="150"/>
        <c:overlap val="100"/>
        <c:axId val="1671149796"/>
        <c:axId val="655538167"/>
      </c:barChart>
      <c:catAx>
        <c:axId val="1671149796"/>
        <c:scaling>
          <c:orientation val="maxMin"/>
        </c:scaling>
        <c:delete val="0"/>
        <c:axPos val="l"/>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655538167"/>
        <c:crosses val="autoZero"/>
        <c:auto val="1"/>
        <c:lblAlgn val="ctr"/>
        <c:lblOffset val="100"/>
        <c:noMultiLvlLbl val="1"/>
      </c:catAx>
      <c:valAx>
        <c:axId val="65553816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1671149796"/>
        <c:crosses val="max"/>
        <c:crossBetween val="between"/>
      </c:valAx>
    </c:plotArea>
    <c:legend>
      <c:legendPos val="r"/>
      <c:overlay val="0"/>
      <c:txPr>
        <a:bodyPr/>
        <a:lstStyle/>
        <a:p>
          <a:pPr lvl="0">
            <a:defRPr sz="900" b="1" i="0">
              <a:solidFill>
                <a:srgbClr val="1A1A1A"/>
              </a:solidFill>
              <a:latin typeface="+mn-lt"/>
            </a:defRPr>
          </a:pPr>
          <a:endParaRPr lang="en-US"/>
        </a:p>
      </c:txPr>
    </c:legend>
    <c:plotVisOnly val="0"/>
    <c:dispBlanksAs val="zero"/>
    <c:showDLblsOverMax val="1"/>
  </c:chart>
  <c:spPr>
    <a:solidFill>
      <a:schemeClr val="accent1">
        <a:lumMod val="40000"/>
        <a:lumOff val="60000"/>
      </a:schemeClr>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Points Progression Graph</a:t>
            </a:r>
          </a:p>
        </c:rich>
      </c:tx>
      <c:overlay val="0"/>
      <c:spPr>
        <a:noFill/>
        <a:ln>
          <a:noFill/>
        </a:ln>
        <a:effectLst/>
      </c:spPr>
    </c:title>
    <c:autoTitleDeleted val="0"/>
    <c:plotArea>
      <c:layout/>
      <c:lineChart>
        <c:grouping val="standard"/>
        <c:varyColors val="1"/>
        <c:ser>
          <c:idx val="0"/>
          <c:order val="0"/>
          <c:tx>
            <c:v>CSK</c:v>
          </c:tx>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Season'!$CE$4:$CE$17</c:f>
              <c:numCache>
                <c:formatCode>General</c:formatCode>
                <c:ptCount val="14"/>
                <c:pt idx="0">
                  <c:v>0</c:v>
                </c:pt>
                <c:pt idx="1">
                  <c:v>0</c:v>
                </c:pt>
                <c:pt idx="2">
                  <c:v>0</c:v>
                </c:pt>
                <c:pt idx="3">
                  <c:v>2</c:v>
                </c:pt>
                <c:pt idx="4">
                  <c:v>4</c:v>
                </c:pt>
                <c:pt idx="5">
                  <c:v>4</c:v>
                </c:pt>
                <c:pt idx="6">
                  <c:v>6</c:v>
                </c:pt>
                <c:pt idx="7">
                  <c:v>6</c:v>
                </c:pt>
                <c:pt idx="8">
                  <c:v>8</c:v>
                </c:pt>
                <c:pt idx="9">
                  <c:v>10</c:v>
                </c:pt>
              </c:numCache>
            </c:numRef>
          </c:val>
          <c:smooth val="0"/>
          <c:extLst>
            <c:ext xmlns:c16="http://schemas.microsoft.com/office/drawing/2014/chart" uri="{C3380CC4-5D6E-409C-BE32-E72D297353CC}">
              <c16:uniqueId val="{00000000-8E58-432F-879A-5126C8F3E860}"/>
            </c:ext>
          </c:extLst>
        </c:ser>
        <c:ser>
          <c:idx val="1"/>
          <c:order val="1"/>
          <c:tx>
            <c:v>MI</c:v>
          </c:tx>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Season'!$CF$4:$CF$17</c:f>
              <c:numCache>
                <c:formatCode>General</c:formatCode>
                <c:ptCount val="14"/>
                <c:pt idx="0">
                  <c:v>2</c:v>
                </c:pt>
                <c:pt idx="1">
                  <c:v>2</c:v>
                </c:pt>
                <c:pt idx="2">
                  <c:v>2</c:v>
                </c:pt>
                <c:pt idx="3">
                  <c:v>2</c:v>
                </c:pt>
                <c:pt idx="4">
                  <c:v>2</c:v>
                </c:pt>
                <c:pt idx="5">
                  <c:v>4</c:v>
                </c:pt>
                <c:pt idx="6">
                  <c:v>4</c:v>
                </c:pt>
                <c:pt idx="7">
                  <c:v>4</c:v>
                </c:pt>
                <c:pt idx="8">
                  <c:v>4</c:v>
                </c:pt>
                <c:pt idx="9">
                  <c:v>6</c:v>
                </c:pt>
              </c:numCache>
            </c:numRef>
          </c:val>
          <c:smooth val="0"/>
          <c:extLst>
            <c:ext xmlns:c16="http://schemas.microsoft.com/office/drawing/2014/chart" uri="{C3380CC4-5D6E-409C-BE32-E72D297353CC}">
              <c16:uniqueId val="{00000001-8E58-432F-879A-5126C8F3E860}"/>
            </c:ext>
          </c:extLst>
        </c:ser>
        <c:ser>
          <c:idx val="2"/>
          <c:order val="2"/>
          <c:tx>
            <c:v>GT</c:v>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Season'!$CG$4:$CG$17</c:f>
              <c:numCache>
                <c:formatCode>General</c:formatCode>
                <c:ptCount val="14"/>
                <c:pt idx="0">
                  <c:v>0</c:v>
                </c:pt>
                <c:pt idx="1">
                  <c:v>0</c:v>
                </c:pt>
                <c:pt idx="2">
                  <c:v>2</c:v>
                </c:pt>
                <c:pt idx="3">
                  <c:v>4</c:v>
                </c:pt>
                <c:pt idx="4">
                  <c:v>6</c:v>
                </c:pt>
                <c:pt idx="5">
                  <c:v>6</c:v>
                </c:pt>
                <c:pt idx="6">
                  <c:v>6</c:v>
                </c:pt>
                <c:pt idx="7">
                  <c:v>8</c:v>
                </c:pt>
                <c:pt idx="8">
                  <c:v>10</c:v>
                </c:pt>
                <c:pt idx="9">
                  <c:v>12</c:v>
                </c:pt>
              </c:numCache>
            </c:numRef>
          </c:val>
          <c:smooth val="0"/>
          <c:extLst>
            <c:ext xmlns:c16="http://schemas.microsoft.com/office/drawing/2014/chart" uri="{C3380CC4-5D6E-409C-BE32-E72D297353CC}">
              <c16:uniqueId val="{00000002-8E58-432F-879A-5126C8F3E860}"/>
            </c:ext>
          </c:extLst>
        </c:ser>
        <c:ser>
          <c:idx val="3"/>
          <c:order val="3"/>
          <c:tx>
            <c:v>RCB</c:v>
          </c:tx>
          <c:spPr>
            <a:ln w="34925" cap="rnd">
              <a:solidFill>
                <a:schemeClr val="accent4"/>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Season'!$CH$4:$CH$17</c:f>
              <c:numCache>
                <c:formatCode>General</c:formatCode>
                <c:ptCount val="14"/>
                <c:pt idx="0">
                  <c:v>2</c:v>
                </c:pt>
                <c:pt idx="1">
                  <c:v>4</c:v>
                </c:pt>
                <c:pt idx="2">
                  <c:v>4</c:v>
                </c:pt>
                <c:pt idx="3">
                  <c:v>6</c:v>
                </c:pt>
                <c:pt idx="4">
                  <c:v>8</c:v>
                </c:pt>
                <c:pt idx="5">
                  <c:v>8</c:v>
                </c:pt>
                <c:pt idx="6">
                  <c:v>10</c:v>
                </c:pt>
                <c:pt idx="7">
                  <c:v>12</c:v>
                </c:pt>
                <c:pt idx="8">
                  <c:v>12</c:v>
                </c:pt>
                <c:pt idx="9">
                  <c:v>12</c:v>
                </c:pt>
              </c:numCache>
            </c:numRef>
          </c:val>
          <c:smooth val="0"/>
          <c:extLst>
            <c:ext xmlns:c16="http://schemas.microsoft.com/office/drawing/2014/chart" uri="{C3380CC4-5D6E-409C-BE32-E72D297353CC}">
              <c16:uniqueId val="{00000003-8E58-432F-879A-5126C8F3E860}"/>
            </c:ext>
          </c:extLst>
        </c:ser>
        <c:ser>
          <c:idx val="4"/>
          <c:order val="4"/>
          <c:tx>
            <c:v>RR</c:v>
          </c:tx>
          <c:spPr>
            <a:ln w="34925" cap="rnd">
              <a:solidFill>
                <a:schemeClr val="accent5"/>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Season'!$CI$4:$CI$17</c:f>
              <c:numCache>
                <c:formatCode>General</c:formatCode>
                <c:ptCount val="14"/>
                <c:pt idx="0">
                  <c:v>2</c:v>
                </c:pt>
                <c:pt idx="1">
                  <c:v>4</c:v>
                </c:pt>
                <c:pt idx="2">
                  <c:v>6</c:v>
                </c:pt>
                <c:pt idx="3">
                  <c:v>8</c:v>
                </c:pt>
                <c:pt idx="4">
                  <c:v>8</c:v>
                </c:pt>
                <c:pt idx="5">
                  <c:v>8</c:v>
                </c:pt>
                <c:pt idx="6">
                  <c:v>10</c:v>
                </c:pt>
                <c:pt idx="7">
                  <c:v>10</c:v>
                </c:pt>
                <c:pt idx="8">
                  <c:v>12</c:v>
                </c:pt>
                <c:pt idx="9">
                  <c:v>12</c:v>
                </c:pt>
              </c:numCache>
            </c:numRef>
          </c:val>
          <c:smooth val="0"/>
          <c:extLst>
            <c:ext xmlns:c16="http://schemas.microsoft.com/office/drawing/2014/chart" uri="{C3380CC4-5D6E-409C-BE32-E72D297353CC}">
              <c16:uniqueId val="{00000004-8E58-432F-879A-5126C8F3E860}"/>
            </c:ext>
          </c:extLst>
        </c:ser>
        <c:ser>
          <c:idx val="5"/>
          <c:order val="5"/>
          <c:tx>
            <c:v>DC</c:v>
          </c:tx>
          <c:spPr>
            <a:ln w="34925" cap="rnd">
              <a:solidFill>
                <a:schemeClr val="accent6"/>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Season'!$CJ$4:$CJ$17</c:f>
              <c:numCache>
                <c:formatCode>General</c:formatCode>
                <c:ptCount val="14"/>
                <c:pt idx="0">
                  <c:v>2</c:v>
                </c:pt>
                <c:pt idx="1">
                  <c:v>4</c:v>
                </c:pt>
                <c:pt idx="2">
                  <c:v>4</c:v>
                </c:pt>
                <c:pt idx="3">
                  <c:v>4</c:v>
                </c:pt>
                <c:pt idx="4">
                  <c:v>6</c:v>
                </c:pt>
                <c:pt idx="5">
                  <c:v>6</c:v>
                </c:pt>
                <c:pt idx="6">
                  <c:v>6</c:v>
                </c:pt>
                <c:pt idx="7">
                  <c:v>6</c:v>
                </c:pt>
                <c:pt idx="8">
                  <c:v>8</c:v>
                </c:pt>
                <c:pt idx="9">
                  <c:v>8</c:v>
                </c:pt>
              </c:numCache>
            </c:numRef>
          </c:val>
          <c:smooth val="0"/>
          <c:extLst>
            <c:ext xmlns:c16="http://schemas.microsoft.com/office/drawing/2014/chart" uri="{C3380CC4-5D6E-409C-BE32-E72D297353CC}">
              <c16:uniqueId val="{00000005-8E58-432F-879A-5126C8F3E860}"/>
            </c:ext>
          </c:extLst>
        </c:ser>
        <c:ser>
          <c:idx val="6"/>
          <c:order val="6"/>
          <c:tx>
            <c:v>PBKS</c:v>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Season'!$CK$4:$CK$17</c:f>
              <c:numCache>
                <c:formatCode>General</c:formatCode>
                <c:ptCount val="14"/>
                <c:pt idx="0">
                  <c:v>2</c:v>
                </c:pt>
                <c:pt idx="1">
                  <c:v>4</c:v>
                </c:pt>
                <c:pt idx="2">
                  <c:v>5</c:v>
                </c:pt>
                <c:pt idx="3">
                  <c:v>7</c:v>
                </c:pt>
                <c:pt idx="4">
                  <c:v>9</c:v>
                </c:pt>
                <c:pt idx="5">
                  <c:v>11</c:v>
                </c:pt>
                <c:pt idx="6">
                  <c:v>13</c:v>
                </c:pt>
                <c:pt idx="7">
                  <c:v>13</c:v>
                </c:pt>
                <c:pt idx="8">
                  <c:v>13</c:v>
                </c:pt>
                <c:pt idx="9">
                  <c:v>13</c:v>
                </c:pt>
              </c:numCache>
            </c:numRef>
          </c:val>
          <c:smooth val="0"/>
          <c:extLst>
            <c:ext xmlns:c16="http://schemas.microsoft.com/office/drawing/2014/chart" uri="{C3380CC4-5D6E-409C-BE32-E72D297353CC}">
              <c16:uniqueId val="{00000006-8E58-432F-879A-5126C8F3E860}"/>
            </c:ext>
          </c:extLst>
        </c:ser>
        <c:ser>
          <c:idx val="7"/>
          <c:order val="7"/>
          <c:tx>
            <c:v>LSG</c:v>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Season'!$CL$4:$CL$17</c:f>
              <c:numCache>
                <c:formatCode>General</c:formatCode>
                <c:ptCount val="14"/>
                <c:pt idx="0">
                  <c:v>0</c:v>
                </c:pt>
                <c:pt idx="1">
                  <c:v>2</c:v>
                </c:pt>
                <c:pt idx="2">
                  <c:v>4</c:v>
                </c:pt>
                <c:pt idx="3">
                  <c:v>4</c:v>
                </c:pt>
                <c:pt idx="4">
                  <c:v>4</c:v>
                </c:pt>
                <c:pt idx="5">
                  <c:v>4</c:v>
                </c:pt>
                <c:pt idx="6">
                  <c:v>4</c:v>
                </c:pt>
                <c:pt idx="7">
                  <c:v>4</c:v>
                </c:pt>
                <c:pt idx="8">
                  <c:v>4</c:v>
                </c:pt>
                <c:pt idx="9">
                  <c:v>6</c:v>
                </c:pt>
              </c:numCache>
            </c:numRef>
          </c:val>
          <c:smooth val="0"/>
          <c:extLst>
            <c:ext xmlns:c16="http://schemas.microsoft.com/office/drawing/2014/chart" uri="{C3380CC4-5D6E-409C-BE32-E72D297353CC}">
              <c16:uniqueId val="{00000007-8E58-432F-879A-5126C8F3E860}"/>
            </c:ext>
          </c:extLst>
        </c:ser>
        <c:ser>
          <c:idx val="8"/>
          <c:order val="8"/>
          <c:tx>
            <c:v>KKR</c:v>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Season'!$CM$4:$CM$17</c:f>
              <c:numCache>
                <c:formatCode>General</c:formatCode>
                <c:ptCount val="14"/>
                <c:pt idx="0">
                  <c:v>0</c:v>
                </c:pt>
                <c:pt idx="1">
                  <c:v>0</c:v>
                </c:pt>
                <c:pt idx="2">
                  <c:v>1</c:v>
                </c:pt>
                <c:pt idx="3">
                  <c:v>1</c:v>
                </c:pt>
                <c:pt idx="4">
                  <c:v>1</c:v>
                </c:pt>
                <c:pt idx="5">
                  <c:v>1</c:v>
                </c:pt>
                <c:pt idx="6">
                  <c:v>3</c:v>
                </c:pt>
                <c:pt idx="7">
                  <c:v>5</c:v>
                </c:pt>
                <c:pt idx="8">
                  <c:v>7</c:v>
                </c:pt>
              </c:numCache>
            </c:numRef>
          </c:val>
          <c:smooth val="0"/>
          <c:extLst>
            <c:ext xmlns:c16="http://schemas.microsoft.com/office/drawing/2014/chart" uri="{C3380CC4-5D6E-409C-BE32-E72D297353CC}">
              <c16:uniqueId val="{00000008-8E58-432F-879A-5126C8F3E860}"/>
            </c:ext>
          </c:extLst>
        </c:ser>
        <c:ser>
          <c:idx val="9"/>
          <c:order val="9"/>
          <c:tx>
            <c:v>SRH</c:v>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'Regular Season'!$CN$4:$CN$17</c:f>
              <c:numCache>
                <c:formatCode>General</c:formatCode>
                <c:ptCount val="14"/>
                <c:pt idx="0">
                  <c:v>0</c:v>
                </c:pt>
                <c:pt idx="1">
                  <c:v>2</c:v>
                </c:pt>
                <c:pt idx="2">
                  <c:v>2</c:v>
                </c:pt>
                <c:pt idx="3">
                  <c:v>2</c:v>
                </c:pt>
                <c:pt idx="4">
                  <c:v>4</c:v>
                </c:pt>
                <c:pt idx="5">
                  <c:v>6</c:v>
                </c:pt>
                <c:pt idx="6">
                  <c:v>8</c:v>
                </c:pt>
                <c:pt idx="7">
                  <c:v>10</c:v>
                </c:pt>
                <c:pt idx="8">
                  <c:v>12</c:v>
                </c:pt>
                <c:pt idx="9">
                  <c:v>12</c:v>
                </c:pt>
                <c:pt idx="10">
                  <c:v>14</c:v>
                </c:pt>
              </c:numCache>
            </c:numRef>
          </c:val>
          <c:smooth val="0"/>
          <c:extLst>
            <c:ext xmlns:c16="http://schemas.microsoft.com/office/drawing/2014/chart" uri="{C3380CC4-5D6E-409C-BE32-E72D297353CC}">
              <c16:uniqueId val="{00000009-8E58-432F-879A-5126C8F3E860}"/>
            </c:ext>
          </c:extLst>
        </c:ser>
        <c:dLbls>
          <c:dLblPos val="ctr"/>
          <c:showLegendKey val="0"/>
          <c:showVal val="1"/>
          <c:showCatName val="0"/>
          <c:showSerName val="0"/>
          <c:showPercent val="0"/>
          <c:showBubbleSize val="0"/>
        </c:dLbls>
        <c:smooth val="0"/>
        <c:axId val="1600517125"/>
        <c:axId val="801550391"/>
      </c:lineChart>
      <c:catAx>
        <c:axId val="160051712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Matches</a:t>
                </a:r>
              </a:p>
            </c:rich>
          </c:tx>
          <c:overlay val="0"/>
          <c:spPr>
            <a:noFill/>
            <a:ln>
              <a:noFill/>
            </a:ln>
            <a:effectLst/>
          </c:sp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1550391"/>
        <c:crosses val="autoZero"/>
        <c:auto val="1"/>
        <c:lblAlgn val="ctr"/>
        <c:lblOffset val="100"/>
        <c:noMultiLvlLbl val="1"/>
      </c:catAx>
      <c:valAx>
        <c:axId val="8015503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Total Points</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0051712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sz="1400" b="1" i="0" u="none" strike="noStrike" baseline="0">
                <a:solidFill>
                  <a:schemeClr val="bg1"/>
                </a:solidFill>
                <a:latin typeface="Arial"/>
                <a:cs typeface="Arial"/>
              </a:rPr>
              <a:t>Net Run Rate</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'Regular Season'!$BV$29</c:f>
              <c:strCache>
                <c:ptCount val="1"/>
                <c:pt idx="0">
                  <c:v>NRR</c:v>
                </c:pt>
              </c:strCache>
            </c:strRef>
          </c:tx>
          <c:spPr>
            <a:solidFill>
              <a:schemeClr val="accent1"/>
            </a:solidFill>
            <a:ln>
              <a:solidFill>
                <a:schemeClr val="accent1"/>
              </a:solidFill>
            </a:ln>
            <a:effectLst/>
          </c:spPr>
          <c:invertIfNegative val="0"/>
          <c:dLbls>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6E8A-4EC0-B493-5927727C9C6F}"/>
                </c:ext>
              </c:extLst>
            </c:dLbl>
            <c:dLbl>
              <c:idx val="1"/>
              <c:spPr>
                <a:solidFill>
                  <a:srgbClr val="D71921"/>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2-6E8A-4EC0-B493-5927727C9C6F}"/>
                </c:ext>
              </c:extLst>
            </c:dLbl>
            <c:dLbl>
              <c:idx val="2"/>
              <c:spPr>
                <a:solidFill>
                  <a:srgbClr val="DBBE6E"/>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3-6E8A-4EC0-B493-5927727C9C6F}"/>
                </c:ext>
              </c:extLst>
            </c:dLbl>
            <c:dLbl>
              <c:idx val="3"/>
              <c:spPr>
                <a:solidFill>
                  <a:srgbClr val="7030A0"/>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2"/>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4-6E8A-4EC0-B493-5927727C9C6F}"/>
                </c:ext>
              </c:extLst>
            </c:dLbl>
            <c:dLbl>
              <c:idx val="4"/>
              <c:spPr>
                <a:solidFill>
                  <a:srgbClr val="7BAFD4"/>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2"/>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5-6E8A-4EC0-B493-5927727C9C6F}"/>
                </c:ext>
              </c:extLst>
            </c:dLbl>
            <c:dLbl>
              <c:idx val="5"/>
              <c:spPr>
                <a:solidFill>
                  <a:srgbClr val="004BA0"/>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2"/>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6-6E8A-4EC0-B493-5927727C9C6F}"/>
                </c:ext>
              </c:extLst>
            </c:dLbl>
            <c:dLbl>
              <c:idx val="6"/>
              <c:spPr>
                <a:solidFill>
                  <a:srgbClr val="A7A9AC"/>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7-6E8A-4EC0-B493-5927727C9C6F}"/>
                </c:ext>
              </c:extLst>
            </c:dLbl>
            <c:dLbl>
              <c:idx val="7"/>
              <c:spPr>
                <a:solidFill>
                  <a:srgbClr val="FFCCFF"/>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8-6E8A-4EC0-B493-5927727C9C6F}"/>
                </c:ext>
              </c:extLst>
            </c:dLbl>
            <c:dLbl>
              <c:idx val="8"/>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2"/>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9-6E8A-4EC0-B493-5927727C9C6F}"/>
                </c:ext>
              </c:extLst>
            </c:dLbl>
            <c:dLbl>
              <c:idx val="9"/>
              <c:spPr>
                <a:solidFill>
                  <a:srgbClr val="EE7429"/>
                </a:solid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2"/>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A-6E8A-4EC0-B493-5927727C9C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'Regular Season'!$BU$30:$BU$39</c:f>
              <c:strCache>
                <c:ptCount val="10"/>
                <c:pt idx="0">
                  <c:v>CSK</c:v>
                </c:pt>
                <c:pt idx="1">
                  <c:v>DC</c:v>
                </c:pt>
                <c:pt idx="2">
                  <c:v>GT</c:v>
                </c:pt>
                <c:pt idx="3">
                  <c:v>KKR</c:v>
                </c:pt>
                <c:pt idx="4">
                  <c:v>LSG</c:v>
                </c:pt>
                <c:pt idx="5">
                  <c:v>MI</c:v>
                </c:pt>
                <c:pt idx="6">
                  <c:v>PBKS</c:v>
                </c:pt>
                <c:pt idx="7">
                  <c:v>RR</c:v>
                </c:pt>
                <c:pt idx="8">
                  <c:v>RCB</c:v>
                </c:pt>
                <c:pt idx="9">
                  <c:v>SRH</c:v>
                </c:pt>
              </c:strCache>
            </c:strRef>
          </c:cat>
          <c:val>
            <c:numRef>
              <c:f>'Regular Season'!$BV$30:$BV$39</c:f>
              <c:numCache>
                <c:formatCode>0.000</c:formatCode>
                <c:ptCount val="10"/>
                <c:pt idx="0">
                  <c:v>0.15064622373651382</c:v>
                </c:pt>
                <c:pt idx="1">
                  <c:v>-0.94937385759697079</c:v>
                </c:pt>
                <c:pt idx="2">
                  <c:v>-0.14685314685314665</c:v>
                </c:pt>
                <c:pt idx="3">
                  <c:v>-0.86573882404756652</c:v>
                </c:pt>
                <c:pt idx="4">
                  <c:v>-0.9179119066166308</c:v>
                </c:pt>
                <c:pt idx="5">
                  <c:v>-0.64867426761295732</c:v>
                </c:pt>
                <c:pt idx="6">
                  <c:v>0.51837209302325604</c:v>
                </c:pt>
                <c:pt idx="7">
                  <c:v>0.50987179172897434</c:v>
                </c:pt>
                <c:pt idx="8">
                  <c:v>1.2551368115388541</c:v>
                </c:pt>
                <c:pt idx="9">
                  <c:v>0.73202664697094022</c:v>
                </c:pt>
              </c:numCache>
            </c:numRef>
          </c:val>
          <c:extLst>
            <c:ext xmlns:c16="http://schemas.microsoft.com/office/drawing/2014/chart" uri="{C3380CC4-5D6E-409C-BE32-E72D297353CC}">
              <c16:uniqueId val="{00000000-6E8A-4EC0-B493-5927727C9C6F}"/>
            </c:ext>
          </c:extLst>
        </c:ser>
        <c:dLbls>
          <c:showLegendKey val="0"/>
          <c:showVal val="0"/>
          <c:showCatName val="0"/>
          <c:showSerName val="0"/>
          <c:showPercent val="0"/>
          <c:showBubbleSize val="0"/>
        </c:dLbls>
        <c:gapWidth val="100"/>
        <c:axId val="487830176"/>
        <c:axId val="341649712"/>
      </c:barChart>
      <c:catAx>
        <c:axId val="48783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bg1">
                    <a:lumMod val="95000"/>
                  </a:schemeClr>
                </a:solidFill>
                <a:latin typeface="+mn-lt"/>
                <a:ea typeface="+mn-ea"/>
                <a:cs typeface="+mn-cs"/>
              </a:defRPr>
            </a:pPr>
            <a:endParaRPr lang="en-US"/>
          </a:p>
        </c:txPr>
        <c:crossAx val="341649712"/>
        <c:crosses val="autoZero"/>
        <c:auto val="1"/>
        <c:lblAlgn val="ctr"/>
        <c:lblOffset val="100"/>
        <c:noMultiLvlLbl val="0"/>
      </c:catAx>
      <c:valAx>
        <c:axId val="3416497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bg1">
                    <a:lumMod val="95000"/>
                  </a:schemeClr>
                </a:solidFill>
                <a:latin typeface="+mn-lt"/>
                <a:ea typeface="+mn-ea"/>
                <a:cs typeface="+mn-cs"/>
              </a:defRPr>
            </a:pPr>
            <a:endParaRPr lang="en-US"/>
          </a:p>
        </c:txPr>
        <c:crossAx val="48783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21B3A"/>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Tables!$P$2</c:f>
              <c:strCache>
                <c:ptCount val="1"/>
                <c:pt idx="0">
                  <c:v>Points</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Pt>
            <c:idx val="0"/>
            <c:invertIfNegative val="0"/>
            <c:bubble3D val="0"/>
            <c:spPr>
              <a:solidFill>
                <a:srgbClr val="FFCCFF"/>
              </a:solidFill>
              <a:ln>
                <a:noFill/>
              </a:ln>
              <a:effectLst>
                <a:innerShdw blurRad="114300">
                  <a:schemeClr val="accent1"/>
                </a:innerShdw>
              </a:effectLst>
            </c:spPr>
            <c:extLst>
              <c:ext xmlns:c16="http://schemas.microsoft.com/office/drawing/2014/chart" uri="{C3380CC4-5D6E-409C-BE32-E72D297353CC}">
                <c16:uniqueId val="{00000001-F52D-4C5E-87EB-B6ADA804C648}"/>
              </c:ext>
            </c:extLst>
          </c:dPt>
          <c:dPt>
            <c:idx val="1"/>
            <c:invertIfNegative val="0"/>
            <c:bubble3D val="0"/>
            <c:spPr>
              <a:solidFill>
                <a:schemeClr val="tx2"/>
              </a:solidFill>
              <a:ln>
                <a:noFill/>
              </a:ln>
              <a:effectLst>
                <a:innerShdw blurRad="114300">
                  <a:schemeClr val="accent1"/>
                </a:innerShdw>
              </a:effectLst>
            </c:spPr>
            <c:extLst>
              <c:ext xmlns:c16="http://schemas.microsoft.com/office/drawing/2014/chart" uri="{C3380CC4-5D6E-409C-BE32-E72D297353CC}">
                <c16:uniqueId val="{00000002-F52D-4C5E-87EB-B6ADA804C648}"/>
              </c:ext>
            </c:extLst>
          </c:dPt>
          <c:dPt>
            <c:idx val="2"/>
            <c:invertIfNegative val="0"/>
            <c:bubble3D val="0"/>
            <c:spPr>
              <a:solidFill>
                <a:srgbClr val="D71921"/>
              </a:solidFill>
              <a:ln>
                <a:noFill/>
              </a:ln>
              <a:effectLst>
                <a:innerShdw blurRad="114300">
                  <a:schemeClr val="accent1"/>
                </a:innerShdw>
              </a:effectLst>
            </c:spPr>
            <c:extLst>
              <c:ext xmlns:c16="http://schemas.microsoft.com/office/drawing/2014/chart" uri="{C3380CC4-5D6E-409C-BE32-E72D297353CC}">
                <c16:uniqueId val="{00000003-F52D-4C5E-87EB-B6ADA804C648}"/>
              </c:ext>
            </c:extLst>
          </c:dPt>
          <c:dPt>
            <c:idx val="3"/>
            <c:invertIfNegative val="0"/>
            <c:bubble3D val="0"/>
            <c:spPr>
              <a:solidFill>
                <a:srgbClr val="A7A9AC"/>
              </a:solidFill>
              <a:ln>
                <a:noFill/>
              </a:ln>
              <a:effectLst>
                <a:innerShdw blurRad="114300">
                  <a:schemeClr val="accent1"/>
                </a:innerShdw>
              </a:effectLst>
            </c:spPr>
            <c:extLst>
              <c:ext xmlns:c16="http://schemas.microsoft.com/office/drawing/2014/chart" uri="{C3380CC4-5D6E-409C-BE32-E72D297353CC}">
                <c16:uniqueId val="{00000004-F52D-4C5E-87EB-B6ADA804C648}"/>
              </c:ext>
            </c:extLst>
          </c:dPt>
          <c:dPt>
            <c:idx val="4"/>
            <c:invertIfNegative val="0"/>
            <c:bubble3D val="0"/>
            <c:spPr>
              <a:solidFill>
                <a:srgbClr val="EE7429"/>
              </a:solidFill>
              <a:ln>
                <a:noFill/>
              </a:ln>
              <a:effectLst>
                <a:innerShdw blurRad="114300">
                  <a:schemeClr val="accent1"/>
                </a:innerShdw>
              </a:effectLst>
            </c:spPr>
            <c:extLst>
              <c:ext xmlns:c16="http://schemas.microsoft.com/office/drawing/2014/chart" uri="{C3380CC4-5D6E-409C-BE32-E72D297353CC}">
                <c16:uniqueId val="{00000005-F52D-4C5E-87EB-B6ADA804C648}"/>
              </c:ext>
            </c:extLst>
          </c:dPt>
          <c:dPt>
            <c:idx val="5"/>
            <c:invertIfNegative val="0"/>
            <c:bubble3D val="0"/>
            <c:spPr>
              <a:solidFill>
                <a:srgbClr val="DBBE6E"/>
              </a:solidFill>
              <a:ln>
                <a:noFill/>
              </a:ln>
              <a:effectLst>
                <a:innerShdw blurRad="114300">
                  <a:schemeClr val="accent1"/>
                </a:innerShdw>
              </a:effectLst>
            </c:spPr>
            <c:extLst>
              <c:ext xmlns:c16="http://schemas.microsoft.com/office/drawing/2014/chart" uri="{C3380CC4-5D6E-409C-BE32-E72D297353CC}">
                <c16:uniqueId val="{00000006-F52D-4C5E-87EB-B6ADA804C648}"/>
              </c:ext>
            </c:extLst>
          </c:dPt>
          <c:dPt>
            <c:idx val="6"/>
            <c:invertIfNegative val="0"/>
            <c:bubble3D val="0"/>
            <c:spPr>
              <a:solidFill>
                <a:srgbClr val="7BAFD4"/>
              </a:solidFill>
              <a:ln>
                <a:noFill/>
              </a:ln>
              <a:effectLst>
                <a:innerShdw blurRad="114300">
                  <a:schemeClr val="accent1"/>
                </a:innerShdw>
              </a:effectLst>
            </c:spPr>
            <c:extLst>
              <c:ext xmlns:c16="http://schemas.microsoft.com/office/drawing/2014/chart" uri="{C3380CC4-5D6E-409C-BE32-E72D297353CC}">
                <c16:uniqueId val="{00000007-F52D-4C5E-87EB-B6ADA804C648}"/>
              </c:ext>
            </c:extLst>
          </c:dPt>
          <c:dPt>
            <c:idx val="7"/>
            <c:invertIfNegative val="0"/>
            <c:bubble3D val="0"/>
            <c:spPr>
              <a:solidFill>
                <a:srgbClr val="004BA0"/>
              </a:solidFill>
              <a:ln>
                <a:noFill/>
              </a:ln>
              <a:effectLst>
                <a:innerShdw blurRad="114300">
                  <a:schemeClr val="accent1"/>
                </a:innerShdw>
              </a:effectLst>
            </c:spPr>
            <c:extLst>
              <c:ext xmlns:c16="http://schemas.microsoft.com/office/drawing/2014/chart" uri="{C3380CC4-5D6E-409C-BE32-E72D297353CC}">
                <c16:uniqueId val="{00000010-4BD1-44F1-A20A-C24D43843FF2}"/>
              </c:ext>
            </c:extLst>
          </c:dPt>
          <c:dPt>
            <c:idx val="8"/>
            <c:invertIfNegative val="0"/>
            <c:bubble3D val="0"/>
            <c:spPr>
              <a:solidFill>
                <a:srgbClr val="FFFF00"/>
              </a:solidFill>
              <a:ln>
                <a:noFill/>
              </a:ln>
              <a:effectLst>
                <a:innerShdw blurRad="114300">
                  <a:schemeClr val="accent1"/>
                </a:innerShdw>
              </a:effectLst>
            </c:spPr>
            <c:extLst>
              <c:ext xmlns:c16="http://schemas.microsoft.com/office/drawing/2014/chart" uri="{C3380CC4-5D6E-409C-BE32-E72D297353CC}">
                <c16:uniqueId val="{00000008-F52D-4C5E-87EB-B6ADA804C6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Tables!$K$3:$K$12</c:f>
              <c:strCache>
                <c:ptCount val="10"/>
                <c:pt idx="0">
                  <c:v>SRH</c:v>
                </c:pt>
                <c:pt idx="1">
                  <c:v>PBKS</c:v>
                </c:pt>
                <c:pt idx="2">
                  <c:v>RCB</c:v>
                </c:pt>
                <c:pt idx="3">
                  <c:v>RR</c:v>
                </c:pt>
                <c:pt idx="4">
                  <c:v>GT</c:v>
                </c:pt>
                <c:pt idx="5">
                  <c:v>CSK</c:v>
                </c:pt>
                <c:pt idx="6">
                  <c:v>DC</c:v>
                </c:pt>
                <c:pt idx="7">
                  <c:v>KKR</c:v>
                </c:pt>
                <c:pt idx="8">
                  <c:v>MI</c:v>
                </c:pt>
                <c:pt idx="9">
                  <c:v>LSG</c:v>
                </c:pt>
              </c:strCache>
            </c:strRef>
          </c:cat>
          <c:val>
            <c:numRef>
              <c:f>Tables!$P$3:$P$12</c:f>
              <c:numCache>
                <c:formatCode>General</c:formatCode>
                <c:ptCount val="10"/>
                <c:pt idx="0">
                  <c:v>14</c:v>
                </c:pt>
                <c:pt idx="1">
                  <c:v>13</c:v>
                </c:pt>
                <c:pt idx="2">
                  <c:v>12</c:v>
                </c:pt>
                <c:pt idx="3">
                  <c:v>12</c:v>
                </c:pt>
                <c:pt idx="4">
                  <c:v>12</c:v>
                </c:pt>
                <c:pt idx="5">
                  <c:v>10</c:v>
                </c:pt>
                <c:pt idx="6">
                  <c:v>8</c:v>
                </c:pt>
                <c:pt idx="7">
                  <c:v>7</c:v>
                </c:pt>
                <c:pt idx="8">
                  <c:v>6</c:v>
                </c:pt>
                <c:pt idx="9">
                  <c:v>6</c:v>
                </c:pt>
              </c:numCache>
            </c:numRef>
          </c:val>
          <c:extLst>
            <c:ext xmlns:c16="http://schemas.microsoft.com/office/drawing/2014/chart" uri="{C3380CC4-5D6E-409C-BE32-E72D297353CC}">
              <c16:uniqueId val="{00000000-F52D-4C5E-87EB-B6ADA804C648}"/>
            </c:ext>
          </c:extLst>
        </c:ser>
        <c:dLbls>
          <c:showLegendKey val="0"/>
          <c:showVal val="0"/>
          <c:showCatName val="0"/>
          <c:showSerName val="0"/>
          <c:showPercent val="0"/>
          <c:showBubbleSize val="0"/>
        </c:dLbls>
        <c:gapWidth val="164"/>
        <c:overlap val="-22"/>
        <c:axId val="2081900223"/>
        <c:axId val="1754662191"/>
      </c:barChart>
      <c:catAx>
        <c:axId val="208190022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662191"/>
        <c:crosses val="autoZero"/>
        <c:auto val="1"/>
        <c:lblAlgn val="ctr"/>
        <c:lblOffset val="100"/>
        <c:noMultiLvlLbl val="0"/>
      </c:catAx>
      <c:valAx>
        <c:axId val="17546621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900223"/>
        <c:crosses val="autoZero"/>
        <c:crossBetween val="between"/>
      </c:valAx>
      <c:spPr>
        <a:noFill/>
        <a:ln>
          <a:noFill/>
        </a:ln>
        <a:effectLst/>
      </c:spPr>
    </c:plotArea>
    <c:plotVisOnly val="1"/>
    <c:dispBlanksAs val="gap"/>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Boundaries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rgbClr val="333399"/>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5DC-4796-8E55-CFF481E96AC9}"/>
              </c:ext>
            </c:extLst>
          </c:dPt>
          <c:dPt>
            <c:idx val="1"/>
            <c:invertIfNegative val="0"/>
            <c:bubble3D val="0"/>
            <c:spPr>
              <a:solidFill>
                <a:srgbClr val="3333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5DC-4796-8E55-CFF481E96AC9}"/>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DC-4796-8E55-CFF481E96AC9}"/>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DC-4796-8E55-CFF481E96A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'Regular Season'!$A$32:$A$33</c:f>
              <c:strCache>
                <c:ptCount val="2"/>
                <c:pt idx="0">
                  <c:v>Total 4's Combined</c:v>
                </c:pt>
                <c:pt idx="1">
                  <c:v>Total 6's Combined</c:v>
                </c:pt>
              </c:strCache>
            </c:strRef>
          </c:cat>
          <c:val>
            <c:numRef>
              <c:f>'Regular Season'!$C$32:$C$33</c:f>
              <c:numCache>
                <c:formatCode>General</c:formatCode>
                <c:ptCount val="2"/>
                <c:pt idx="0">
                  <c:v>1546</c:v>
                </c:pt>
                <c:pt idx="1">
                  <c:v>936</c:v>
                </c:pt>
              </c:numCache>
            </c:numRef>
          </c:val>
          <c:extLst>
            <c:ext xmlns:c16="http://schemas.microsoft.com/office/drawing/2014/chart" uri="{C3380CC4-5D6E-409C-BE32-E72D297353CC}">
              <c16:uniqueId val="{00000004-25DC-4796-8E55-CFF481E96AC9}"/>
            </c:ext>
          </c:extLst>
        </c:ser>
        <c:dLbls>
          <c:showLegendKey val="0"/>
          <c:showVal val="0"/>
          <c:showCatName val="0"/>
          <c:showSerName val="0"/>
          <c:showPercent val="0"/>
          <c:showBubbleSize val="0"/>
        </c:dLbls>
        <c:gapWidth val="115"/>
        <c:overlap val="-20"/>
        <c:axId val="2079585935"/>
        <c:axId val="2089470351"/>
        <c:extLst>
          <c:ext xmlns:c15="http://schemas.microsoft.com/office/drawing/2012/chart" uri="{02D57815-91ED-43cb-92C2-25804820EDAC}">
            <c15:filteredBarSeries>
              <c15: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uri="{02D57815-91ED-43cb-92C2-25804820EDAC}">
                        <c15:formulaRef>
                          <c15:sqref>'Regular Season'!$A$32:$A$33</c15:sqref>
                        </c15:formulaRef>
                      </c:ext>
                    </c:extLst>
                    <c:strCache>
                      <c:ptCount val="2"/>
                      <c:pt idx="0">
                        <c:v>Total 4's Combined</c:v>
                      </c:pt>
                      <c:pt idx="1">
                        <c:v>Total 6's Combined</c:v>
                      </c:pt>
                    </c:strCache>
                  </c:strRef>
                </c:cat>
                <c:val>
                  <c:numRef>
                    <c:extLst>
                      <c:ext uri="{02D57815-91ED-43cb-92C2-25804820EDAC}">
                        <c15:formulaRef>
                          <c15:sqref>'Regular Season'!$B$32:$B$33</c15:sqref>
                        </c15:formulaRef>
                      </c:ext>
                    </c:extLst>
                    <c:numCache>
                      <c:formatCode>General</c:formatCode>
                      <c:ptCount val="2"/>
                    </c:numCache>
                  </c:numRef>
                </c:val>
                <c:extLst>
                  <c:ext xmlns:c16="http://schemas.microsoft.com/office/drawing/2014/chart" uri="{C3380CC4-5D6E-409C-BE32-E72D297353CC}">
                    <c16:uniqueId val="{00000005-25DC-4796-8E55-CFF481E96AC9}"/>
                  </c:ext>
                </c:extLst>
              </c15:ser>
            </c15:filteredBarSeries>
          </c:ext>
        </c:extLst>
      </c:barChart>
      <c:catAx>
        <c:axId val="207958593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9470351"/>
        <c:crosses val="autoZero"/>
        <c:auto val="1"/>
        <c:lblAlgn val="ctr"/>
        <c:lblOffset val="100"/>
        <c:noMultiLvlLbl val="0"/>
      </c:catAx>
      <c:valAx>
        <c:axId val="20894703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7958593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Extras (WD/NB) Conceded</cx:v>
        </cx:txData>
      </cx:tx>
      <cx:txPr>
        <a:bodyPr spcFirstLastPara="1" vertOverflow="ellipsis" horzOverflow="overflow" wrap="square" lIns="0" tIns="0" rIns="0" bIns="0" anchor="ctr" anchorCtr="1"/>
        <a:lstStyle/>
        <a:p>
          <a:pPr algn="ctr" rtl="0">
            <a:defRPr/>
          </a:pPr>
          <a:r>
            <a:rPr lang="en-US" sz="1400" b="1" i="0" u="none" strike="noStrike" baseline="0">
              <a:solidFill>
                <a:srgbClr val="000000">
                  <a:lumMod val="65000"/>
                  <a:lumOff val="35000"/>
                </a:srgbClr>
              </a:solidFill>
              <a:latin typeface="Arial"/>
              <a:cs typeface="Arial"/>
            </a:rPr>
            <a:t>Extras (WD/NB) Conceded</a:t>
          </a:r>
        </a:p>
      </cx:txPr>
    </cx:title>
    <cx:plotArea>
      <cx:plotAreaRegion>
        <cx:series layoutId="funnel" uniqueId="{5C2E1FF0-9C51-4BCB-8BED-652EF3D6840C}">
          <cx:tx>
            <cx:txData>
              <cx:f>_xlchart.v2.1</cx:f>
              <cx:v>Count</cx:v>
            </cx:txData>
          </cx:tx>
          <cx:dataLabels>
            <cx:txPr>
              <a:bodyPr spcFirstLastPara="1" vertOverflow="ellipsis" horzOverflow="overflow" wrap="square" lIns="0" tIns="0" rIns="0" bIns="0" anchor="ctr" anchorCtr="1"/>
              <a:lstStyle/>
              <a:p>
                <a:pPr algn="ctr" rtl="0">
                  <a:defRPr sz="1000" b="1" i="1" baseline="0">
                    <a:solidFill>
                      <a:schemeClr val="tx2"/>
                    </a:solidFill>
                  </a:defRPr>
                </a:pPr>
                <a:endParaRPr lang="en-US" sz="1000" b="1" i="1" u="none" strike="noStrike" baseline="0">
                  <a:solidFill>
                    <a:schemeClr val="tx2"/>
                  </a:solidFill>
                  <a:latin typeface="Arial"/>
                  <a:cs typeface="Arial"/>
                </a:endParaRPr>
              </a:p>
            </cx:txPr>
            <cx:visibility seriesName="0" categoryName="0" value="1"/>
          </cx:dataLabels>
          <cx:dataId val="0"/>
        </cx:series>
      </cx:plotAreaRegion>
      <cx:axis id="0">
        <cx:catScaling gapWidth="0.150000006"/>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microsoft.com/office/2014/relationships/chartEx" Target="../charts/chartEx1.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11</xdr:col>
      <xdr:colOff>0</xdr:colOff>
      <xdr:row>6</xdr:row>
      <xdr:rowOff>0</xdr:rowOff>
    </xdr:from>
    <xdr:to>
      <xdr:col>13</xdr:col>
      <xdr:colOff>704850</xdr:colOff>
      <xdr:row>7</xdr:row>
      <xdr:rowOff>19050</xdr:rowOff>
    </xdr:to>
    <xdr:sp macro="[0]!AskPitchSmart" textlink="">
      <xdr:nvSpPr>
        <xdr:cNvPr id="3" name="Rectangle: Rounded Corners 2">
          <a:extLst>
            <a:ext uri="{FF2B5EF4-FFF2-40B4-BE49-F238E27FC236}">
              <a16:creationId xmlns:a16="http://schemas.microsoft.com/office/drawing/2014/main" id="{BBDB0BD1-9B93-401E-A6C8-C1AD12CBFC06}"/>
            </a:ext>
          </a:extLst>
        </xdr:cNvPr>
        <xdr:cNvSpPr/>
      </xdr:nvSpPr>
      <xdr:spPr>
        <a:xfrm>
          <a:off x="8058150" y="1638300"/>
          <a:ext cx="2133600"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b="1">
              <a:solidFill>
                <a:schemeClr val="accent3">
                  <a:lumMod val="40000"/>
                  <a:lumOff val="60000"/>
                </a:schemeClr>
              </a:solidFill>
            </a:rPr>
            <a:t>⚡ Ask PitchSmart</a:t>
          </a:r>
          <a:endParaRPr lang="en-US" sz="1100" b="1">
            <a:solidFill>
              <a:schemeClr val="accent3">
                <a:lumMod val="40000"/>
                <a:lumOff val="6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19049</xdr:colOff>
      <xdr:row>3</xdr:row>
      <xdr:rowOff>123824</xdr:rowOff>
    </xdr:from>
    <xdr:ext cx="5476875" cy="4591051"/>
    <xdr:graphicFrame macro="">
      <xdr:nvGraphicFramePr>
        <xdr:cNvPr id="2" name="Chart 1">
          <a:extLst>
            <a:ext uri="{FF2B5EF4-FFF2-40B4-BE49-F238E27FC236}">
              <a16:creationId xmlns:a16="http://schemas.microsoft.com/office/drawing/2014/main" id="{E2870CEE-380A-4AD2-ADD5-006DA7C258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11</xdr:col>
      <xdr:colOff>15876</xdr:colOff>
      <xdr:row>4</xdr:row>
      <xdr:rowOff>15875</xdr:rowOff>
    </xdr:from>
    <xdr:ext cx="6111874" cy="4537076"/>
    <xdr:graphicFrame macro="">
      <xdr:nvGraphicFramePr>
        <xdr:cNvPr id="3" name="Chart 2">
          <a:extLst>
            <a:ext uri="{FF2B5EF4-FFF2-40B4-BE49-F238E27FC236}">
              <a16:creationId xmlns:a16="http://schemas.microsoft.com/office/drawing/2014/main" id="{B574FCD1-0084-4FBF-BFDF-093CE1DD8D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0</xdr:col>
      <xdr:colOff>0</xdr:colOff>
      <xdr:row>36</xdr:row>
      <xdr:rowOff>15875</xdr:rowOff>
    </xdr:from>
    <xdr:ext cx="5524500" cy="4400550"/>
    <xdr:graphicFrame macro="">
      <xdr:nvGraphicFramePr>
        <xdr:cNvPr id="4" name="Chart 3">
          <a:extLst>
            <a:ext uri="{FF2B5EF4-FFF2-40B4-BE49-F238E27FC236}">
              <a16:creationId xmlns:a16="http://schemas.microsoft.com/office/drawing/2014/main" id="{B37C4316-79AE-4FD7-8CCA-EB2165FF7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11</xdr:col>
      <xdr:colOff>3174</xdr:colOff>
      <xdr:row>36</xdr:row>
      <xdr:rowOff>25400</xdr:rowOff>
    </xdr:from>
    <xdr:ext cx="6113991" cy="4400550"/>
    <xdr:graphicFrame macro="">
      <xdr:nvGraphicFramePr>
        <xdr:cNvPr id="5" name="Chart 4">
          <a:extLst>
            <a:ext uri="{FF2B5EF4-FFF2-40B4-BE49-F238E27FC236}">
              <a16:creationId xmlns:a16="http://schemas.microsoft.com/office/drawing/2014/main" id="{80A258B2-AF09-464D-93C1-10E62B6619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23</xdr:col>
      <xdr:colOff>19049</xdr:colOff>
      <xdr:row>36</xdr:row>
      <xdr:rowOff>38100</xdr:rowOff>
    </xdr:from>
    <xdr:ext cx="8564033" cy="4422775"/>
    <xdr:graphicFrame macro="">
      <xdr:nvGraphicFramePr>
        <xdr:cNvPr id="6" name="Chart 5">
          <a:extLst>
            <a:ext uri="{FF2B5EF4-FFF2-40B4-BE49-F238E27FC236}">
              <a16:creationId xmlns:a16="http://schemas.microsoft.com/office/drawing/2014/main" id="{0DB5BE8D-0FDA-445C-B77D-D0FC880142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23</xdr:col>
      <xdr:colOff>0</xdr:colOff>
      <xdr:row>4</xdr:row>
      <xdr:rowOff>3174</xdr:rowOff>
    </xdr:from>
    <xdr:ext cx="8604249" cy="4502151"/>
    <xdr:graphicFrame macro="">
      <xdr:nvGraphicFramePr>
        <xdr:cNvPr id="7" name="Chart 6">
          <a:extLst>
            <a:ext uri="{FF2B5EF4-FFF2-40B4-BE49-F238E27FC236}">
              <a16:creationId xmlns:a16="http://schemas.microsoft.com/office/drawing/2014/main" id="{0B47794A-B089-42B2-AE9D-67995ABEF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xdr:from>
      <xdr:col>39</xdr:col>
      <xdr:colOff>6349</xdr:colOff>
      <xdr:row>4</xdr:row>
      <xdr:rowOff>15875</xdr:rowOff>
    </xdr:from>
    <xdr:to>
      <xdr:col>50</xdr:col>
      <xdr:colOff>603249</xdr:colOff>
      <xdr:row>31</xdr:row>
      <xdr:rowOff>142875</xdr:rowOff>
    </xdr:to>
    <xdr:graphicFrame macro="">
      <xdr:nvGraphicFramePr>
        <xdr:cNvPr id="8" name="Chart 1">
          <a:extLst>
            <a:ext uri="{FF2B5EF4-FFF2-40B4-BE49-F238E27FC236}">
              <a16:creationId xmlns:a16="http://schemas.microsoft.com/office/drawing/2014/main" id="{689388AA-6EDE-4A47-8897-87C043553B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38</xdr:col>
      <xdr:colOff>602192</xdr:colOff>
      <xdr:row>36</xdr:row>
      <xdr:rowOff>19049</xdr:rowOff>
    </xdr:from>
    <xdr:to>
      <xdr:col>51</xdr:col>
      <xdr:colOff>15875</xdr:colOff>
      <xdr:row>62</xdr:row>
      <xdr:rowOff>19050</xdr:rowOff>
    </xdr:to>
    <xdr:graphicFrame macro="">
      <xdr:nvGraphicFramePr>
        <xdr:cNvPr id="10" name="Chart 3">
          <a:extLst>
            <a:ext uri="{FF2B5EF4-FFF2-40B4-BE49-F238E27FC236}">
              <a16:creationId xmlns:a16="http://schemas.microsoft.com/office/drawing/2014/main" id="{89B5CCAF-A137-4F83-872F-747449DE3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52</xdr:col>
      <xdr:colOff>28575</xdr:colOff>
      <xdr:row>4</xdr:row>
      <xdr:rowOff>66675</xdr:rowOff>
    </xdr:from>
    <xdr:to>
      <xdr:col>64</xdr:col>
      <xdr:colOff>571500</xdr:colOff>
      <xdr:row>31</xdr:row>
      <xdr:rowOff>142873</xdr:rowOff>
    </xdr:to>
    <xdr:graphicFrame macro="">
      <xdr:nvGraphicFramePr>
        <xdr:cNvPr id="11" name="Chart 1">
          <a:extLst>
            <a:ext uri="{FF2B5EF4-FFF2-40B4-BE49-F238E27FC236}">
              <a16:creationId xmlns:a16="http://schemas.microsoft.com/office/drawing/2014/main" id="{0AF87455-3564-4931-9244-B3952119C9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52</xdr:col>
      <xdr:colOff>28575</xdr:colOff>
      <xdr:row>36</xdr:row>
      <xdr:rowOff>25399</xdr:rowOff>
    </xdr:from>
    <xdr:to>
      <xdr:col>65</xdr:col>
      <xdr:colOff>-1</xdr:colOff>
      <xdr:row>62</xdr:row>
      <xdr:rowOff>23811</xdr:rowOff>
    </xdr:to>
    <mc:AlternateContent xmlns:mc="http://schemas.openxmlformats.org/markup-compatibility/2006">
      <mc:Choice xmlns:cx2="http://schemas.microsoft.com/office/drawing/2015/10/21/chartex" Requires="cx2">
        <xdr:graphicFrame macro="">
          <xdr:nvGraphicFramePr>
            <xdr:cNvPr id="9" name="Chart 1">
              <a:extLst>
                <a:ext uri="{FF2B5EF4-FFF2-40B4-BE49-F238E27FC236}">
                  <a16:creationId xmlns:a16="http://schemas.microsoft.com/office/drawing/2014/main" id="{456CE12E-F1B8-49E8-9247-22A47EC41DF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31918275" y="5740399"/>
              <a:ext cx="7896224" cy="41259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PL%20NRR%20Tracker%20-%2020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Match Log"/>
      <sheetName val="Instructions"/>
      <sheetName val="Lists"/>
    </sheetNames>
    <sheetDataSet>
      <sheetData sheetId="0">
        <row r="7">
          <cell r="K7">
            <v>0.15064622373651382</v>
          </cell>
        </row>
        <row r="8">
          <cell r="K8">
            <v>-0.94937385759697079</v>
          </cell>
        </row>
        <row r="9">
          <cell r="K9">
            <v>-0.14685314685314665</v>
          </cell>
        </row>
        <row r="10">
          <cell r="K10">
            <v>-0.86573882404756652</v>
          </cell>
        </row>
        <row r="11">
          <cell r="K11">
            <v>-0.9179119066166308</v>
          </cell>
        </row>
        <row r="12">
          <cell r="K12">
            <v>-0.64867426761295732</v>
          </cell>
        </row>
        <row r="13">
          <cell r="K13">
            <v>0.51837209302325604</v>
          </cell>
        </row>
        <row r="14">
          <cell r="K14">
            <v>0.50987179172897434</v>
          </cell>
        </row>
        <row r="15">
          <cell r="K15">
            <v>1.2551368115388541</v>
          </cell>
        </row>
        <row r="16">
          <cell r="K16">
            <v>0.73202664697094022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BU16:BX26" headerRowDxfId="36" dataDxfId="35" totalsRowDxfId="34">
  <tableColumns count="4">
    <tableColumn id="1" xr3:uid="{00000000-0010-0000-0200-000001000000}" name="Team" dataDxfId="33"/>
    <tableColumn id="2" xr3:uid="{00000000-0010-0000-0200-000002000000}" name="Runs" dataDxfId="32"/>
    <tableColumn id="3" xr3:uid="{00000000-0010-0000-0200-000003000000}" name="Team2" dataDxfId="31"/>
    <tableColumn id="4" xr3:uid="{00000000-0010-0000-0200-000004000000}" name="Wickets" dataDxfId="30"/>
  </tableColumns>
  <tableStyleInfo name="TableStyleLight6"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F09ABE-5274-443D-8B5E-DCF99A7A1FE7}" name="Table5" displayName="Table5" ref="BU29:BV39" totalsRowShown="0" headerRowDxfId="29" dataDxfId="28">
  <autoFilter ref="BU29:BV39" xr:uid="{96CA329B-6987-4FB6-9B01-E67E1E17CFB2}"/>
  <tableColumns count="2">
    <tableColumn id="1" xr3:uid="{22906B60-004B-4A0D-AB67-3206EA30DB1F}" name="Team" dataDxfId="27"/>
    <tableColumn id="2" xr3:uid="{0DD55345-5C4F-4A48-936B-11656068F514}" name="NRR" dataDxfId="26">
      <calculatedColumnFormula>[1]Dashboard!K7</calculatedColumnFormula>
    </tableColumn>
  </tableColumns>
  <tableStyleInfo name="TableStyleDark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D1DDA9-2172-4472-896F-A95D33BB05AD}" name="Table7" displayName="Table7" ref="BU3:BX13" totalsRowShown="0" headerRowDxfId="25" dataDxfId="24">
  <autoFilter ref="BU3:BX13" xr:uid="{7E403223-495E-4361-B4C5-1B085364DA0B}"/>
  <tableColumns count="4">
    <tableColumn id="1" xr3:uid="{525E32C9-3205-4B6C-870E-1BF4791585F0}" name="Team" dataDxfId="23"/>
    <tableColumn id="2" xr3:uid="{A39382F5-F298-4E96-95A2-AD1C5D3031D9}" name="Win" dataDxfId="22">
      <calculatedColumnFormula>H18</calculatedColumnFormula>
    </tableColumn>
    <tableColumn id="3" xr3:uid="{B87545C9-5408-4B49-BBDC-4EBE6B0A8FF7}" name="Loss" dataDxfId="21">
      <calculatedColumnFormula>H19</calculatedColumnFormula>
    </tableColumn>
    <tableColumn id="4" xr3:uid="{DFF44305-F5CD-425A-ACC3-8E50C62B338F}" name="NR" dataDxfId="20"/>
  </tableColumns>
  <tableStyleInfo name="TableStyleDark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CD3:CN17" headerRowDxfId="19" dataDxfId="18" totalsRowDxfId="17">
  <tableColumns count="11">
    <tableColumn id="1" xr3:uid="{00000000-0010-0000-0100-000001000000}" name="Match #" dataDxfId="16"/>
    <tableColumn id="2" xr3:uid="{00000000-0010-0000-0100-000002000000}" name="CSK" dataDxfId="15"/>
    <tableColumn id="3" xr3:uid="{00000000-0010-0000-0100-000003000000}" name="MI" dataDxfId="14"/>
    <tableColumn id="4" xr3:uid="{00000000-0010-0000-0100-000004000000}" name="GT" dataDxfId="13"/>
    <tableColumn id="5" xr3:uid="{00000000-0010-0000-0100-000005000000}" name="RCB" dataDxfId="12"/>
    <tableColumn id="6" xr3:uid="{00000000-0010-0000-0100-000006000000}" name="RR" dataDxfId="11"/>
    <tableColumn id="7" xr3:uid="{00000000-0010-0000-0100-000007000000}" name="DC" dataDxfId="10"/>
    <tableColumn id="8" xr3:uid="{00000000-0010-0000-0100-000008000000}" name="PBKS" dataDxfId="9"/>
    <tableColumn id="9" xr3:uid="{00000000-0010-0000-0100-000009000000}" name="LSG" dataDxfId="8"/>
    <tableColumn id="10" xr3:uid="{00000000-0010-0000-0100-00000A000000}" name="KKR" dataDxfId="7"/>
    <tableColumn id="11" xr3:uid="{00000000-0010-0000-0100-00000B000000}" name="SRH" dataDxfId="6"/>
  </tableColumns>
  <tableStyleInfo name="Regular Season-style 2"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97982-5A39-41DC-A095-135575439DFA}">
  <sheetPr codeName="Sheet6"/>
  <dimension ref="B1:O34"/>
  <sheetViews>
    <sheetView showGridLines="0" topLeftCell="A4" zoomScale="85" workbookViewId="0">
      <selection activeCell="B6" sqref="B6:N6"/>
    </sheetView>
  </sheetViews>
  <sheetFormatPr defaultRowHeight="12.5"/>
  <cols>
    <col min="1" max="1" width="3.7265625" customWidth="1"/>
    <col min="2" max="2" width="20.7265625" customWidth="1"/>
    <col min="3" max="14" width="10.7265625" customWidth="1"/>
    <col min="15" max="15" width="3.7265625" customWidth="1"/>
  </cols>
  <sheetData>
    <row r="1" spans="2:15" ht="8.15" customHeight="1"/>
    <row r="2" spans="2:15" ht="40" customHeight="1">
      <c r="B2" s="162" t="s">
        <v>171</v>
      </c>
      <c r="C2" s="162"/>
      <c r="D2" s="162"/>
      <c r="E2" s="162"/>
      <c r="F2" s="162"/>
      <c r="G2" s="162"/>
      <c r="H2" s="162"/>
      <c r="I2" s="162"/>
      <c r="J2" s="162"/>
      <c r="K2" s="162"/>
      <c r="L2" s="162"/>
      <c r="M2" s="162"/>
      <c r="N2" s="162"/>
      <c r="O2" s="162"/>
    </row>
    <row r="3" spans="2:15" ht="8.15" customHeight="1"/>
    <row r="4" spans="2:15" ht="30" customHeight="1">
      <c r="B4" s="163" t="s">
        <v>172</v>
      </c>
      <c r="C4" s="163"/>
      <c r="D4" s="163"/>
      <c r="E4" s="163"/>
      <c r="F4" s="163"/>
      <c r="G4" s="163"/>
      <c r="H4" s="163"/>
      <c r="I4" s="163"/>
      <c r="J4" s="163"/>
      <c r="K4" s="163"/>
      <c r="L4" s="163"/>
      <c r="M4" s="163"/>
      <c r="N4" s="163"/>
      <c r="O4" s="163"/>
    </row>
    <row r="5" spans="2:15" ht="20.149999999999999" customHeight="1">
      <c r="B5" s="159" t="s">
        <v>173</v>
      </c>
    </row>
    <row r="6" spans="2:15" ht="25" customHeight="1">
      <c r="B6" s="164" t="s">
        <v>181</v>
      </c>
      <c r="C6" s="164"/>
      <c r="D6" s="164"/>
      <c r="E6" s="164"/>
      <c r="F6" s="164"/>
      <c r="G6" s="164"/>
      <c r="H6" s="164"/>
      <c r="I6" s="164"/>
      <c r="J6" s="164"/>
      <c r="K6" s="164"/>
      <c r="L6" s="164"/>
      <c r="M6" s="164"/>
      <c r="N6" s="164"/>
    </row>
    <row r="7" spans="2:15" ht="25" customHeight="1" thickBot="1">
      <c r="B7" s="158"/>
      <c r="C7" s="158"/>
      <c r="D7" s="158"/>
      <c r="E7" s="158"/>
      <c r="F7" s="158"/>
      <c r="G7" s="158"/>
      <c r="H7" s="158"/>
      <c r="I7" s="158"/>
      <c r="J7" s="158"/>
      <c r="K7" s="158"/>
      <c r="L7" s="158"/>
      <c r="M7" s="158"/>
      <c r="N7" s="158"/>
    </row>
    <row r="8" spans="2:15" ht="8.15" customHeight="1">
      <c r="B8" s="165" t="s">
        <v>182</v>
      </c>
      <c r="C8" s="166"/>
      <c r="D8" s="166"/>
      <c r="E8" s="166"/>
      <c r="F8" s="166"/>
      <c r="G8" s="166"/>
      <c r="H8" s="166"/>
      <c r="I8" s="166"/>
      <c r="J8" s="166"/>
      <c r="K8" s="166"/>
      <c r="L8" s="166"/>
      <c r="M8" s="166"/>
      <c r="N8" s="167"/>
    </row>
    <row r="9" spans="2:15" ht="20.149999999999999" customHeight="1">
      <c r="B9" s="168"/>
      <c r="C9" s="169"/>
      <c r="D9" s="169"/>
      <c r="E9" s="169"/>
      <c r="F9" s="169"/>
      <c r="G9" s="169"/>
      <c r="H9" s="169"/>
      <c r="I9" s="169"/>
      <c r="J9" s="169"/>
      <c r="K9" s="169"/>
      <c r="L9" s="169"/>
      <c r="M9" s="169"/>
      <c r="N9" s="170"/>
    </row>
    <row r="10" spans="2:15" ht="20.149999999999999" customHeight="1">
      <c r="B10" s="168"/>
      <c r="C10" s="169"/>
      <c r="D10" s="169"/>
      <c r="E10" s="169"/>
      <c r="F10" s="169"/>
      <c r="G10" s="169"/>
      <c r="H10" s="169"/>
      <c r="I10" s="169"/>
      <c r="J10" s="169"/>
      <c r="K10" s="169"/>
      <c r="L10" s="169"/>
      <c r="M10" s="169"/>
      <c r="N10" s="170"/>
    </row>
    <row r="11" spans="2:15" ht="20.149999999999999" customHeight="1">
      <c r="B11" s="168"/>
      <c r="C11" s="169"/>
      <c r="D11" s="169"/>
      <c r="E11" s="169"/>
      <c r="F11" s="169"/>
      <c r="G11" s="169"/>
      <c r="H11" s="169"/>
      <c r="I11" s="169"/>
      <c r="J11" s="169"/>
      <c r="K11" s="169"/>
      <c r="L11" s="169"/>
      <c r="M11" s="169"/>
      <c r="N11" s="170"/>
    </row>
    <row r="12" spans="2:15" ht="20.149999999999999" customHeight="1">
      <c r="B12" s="168"/>
      <c r="C12" s="169"/>
      <c r="D12" s="169"/>
      <c r="E12" s="169"/>
      <c r="F12" s="169"/>
      <c r="G12" s="169"/>
      <c r="H12" s="169"/>
      <c r="I12" s="169"/>
      <c r="J12" s="169"/>
      <c r="K12" s="169"/>
      <c r="L12" s="169"/>
      <c r="M12" s="169"/>
      <c r="N12" s="170"/>
    </row>
    <row r="13" spans="2:15" ht="20.149999999999999" customHeight="1">
      <c r="B13" s="168"/>
      <c r="C13" s="169"/>
      <c r="D13" s="169"/>
      <c r="E13" s="169"/>
      <c r="F13" s="169"/>
      <c r="G13" s="169"/>
      <c r="H13" s="169"/>
      <c r="I13" s="169"/>
      <c r="J13" s="169"/>
      <c r="K13" s="169"/>
      <c r="L13" s="169"/>
      <c r="M13" s="169"/>
      <c r="N13" s="170"/>
    </row>
    <row r="14" spans="2:15" ht="20.149999999999999" customHeight="1">
      <c r="B14" s="168"/>
      <c r="C14" s="169"/>
      <c r="D14" s="169"/>
      <c r="E14" s="169"/>
      <c r="F14" s="169"/>
      <c r="G14" s="169"/>
      <c r="H14" s="169"/>
      <c r="I14" s="169"/>
      <c r="J14" s="169"/>
      <c r="K14" s="169"/>
      <c r="L14" s="169"/>
      <c r="M14" s="169"/>
      <c r="N14" s="170"/>
    </row>
    <row r="15" spans="2:15" ht="20.149999999999999" customHeight="1">
      <c r="B15" s="168"/>
      <c r="C15" s="169"/>
      <c r="D15" s="169"/>
      <c r="E15" s="169"/>
      <c r="F15" s="169"/>
      <c r="G15" s="169"/>
      <c r="H15" s="169"/>
      <c r="I15" s="169"/>
      <c r="J15" s="169"/>
      <c r="K15" s="169"/>
      <c r="L15" s="169"/>
      <c r="M15" s="169"/>
      <c r="N15" s="170"/>
    </row>
    <row r="16" spans="2:15" ht="20.149999999999999" customHeight="1">
      <c r="B16" s="168"/>
      <c r="C16" s="169"/>
      <c r="D16" s="169"/>
      <c r="E16" s="169"/>
      <c r="F16" s="169"/>
      <c r="G16" s="169"/>
      <c r="H16" s="169"/>
      <c r="I16" s="169"/>
      <c r="J16" s="169"/>
      <c r="K16" s="169"/>
      <c r="L16" s="169"/>
      <c r="M16" s="169"/>
      <c r="N16" s="170"/>
    </row>
    <row r="17" spans="2:14" ht="20.149999999999999" customHeight="1">
      <c r="B17" s="168"/>
      <c r="C17" s="169"/>
      <c r="D17" s="169"/>
      <c r="E17" s="169"/>
      <c r="F17" s="169"/>
      <c r="G17" s="169"/>
      <c r="H17" s="169"/>
      <c r="I17" s="169"/>
      <c r="J17" s="169"/>
      <c r="K17" s="169"/>
      <c r="L17" s="169"/>
      <c r="M17" s="169"/>
      <c r="N17" s="170"/>
    </row>
    <row r="18" spans="2:14" ht="20.149999999999999" customHeight="1">
      <c r="B18" s="168"/>
      <c r="C18" s="169"/>
      <c r="D18" s="169"/>
      <c r="E18" s="169"/>
      <c r="F18" s="169"/>
      <c r="G18" s="169"/>
      <c r="H18" s="169"/>
      <c r="I18" s="169"/>
      <c r="J18" s="169"/>
      <c r="K18" s="169"/>
      <c r="L18" s="169"/>
      <c r="M18" s="169"/>
      <c r="N18" s="170"/>
    </row>
    <row r="19" spans="2:14" ht="20.149999999999999" customHeight="1">
      <c r="B19" s="168"/>
      <c r="C19" s="169"/>
      <c r="D19" s="169"/>
      <c r="E19" s="169"/>
      <c r="F19" s="169"/>
      <c r="G19" s="169"/>
      <c r="H19" s="169"/>
      <c r="I19" s="169"/>
      <c r="J19" s="169"/>
      <c r="K19" s="169"/>
      <c r="L19" s="169"/>
      <c r="M19" s="169"/>
      <c r="N19" s="170"/>
    </row>
    <row r="20" spans="2:14" ht="20.149999999999999" customHeight="1">
      <c r="B20" s="168"/>
      <c r="C20" s="169"/>
      <c r="D20" s="169"/>
      <c r="E20" s="169"/>
      <c r="F20" s="169"/>
      <c r="G20" s="169"/>
      <c r="H20" s="169"/>
      <c r="I20" s="169"/>
      <c r="J20" s="169"/>
      <c r="K20" s="169"/>
      <c r="L20" s="169"/>
      <c r="M20" s="169"/>
      <c r="N20" s="170"/>
    </row>
    <row r="21" spans="2:14" ht="20.149999999999999" customHeight="1">
      <c r="B21" s="168"/>
      <c r="C21" s="169"/>
      <c r="D21" s="169"/>
      <c r="E21" s="169"/>
      <c r="F21" s="169"/>
      <c r="G21" s="169"/>
      <c r="H21" s="169"/>
      <c r="I21" s="169"/>
      <c r="J21" s="169"/>
      <c r="K21" s="169"/>
      <c r="L21" s="169"/>
      <c r="M21" s="169"/>
      <c r="N21" s="170"/>
    </row>
    <row r="22" spans="2:14" ht="20.149999999999999" customHeight="1">
      <c r="B22" s="168"/>
      <c r="C22" s="169"/>
      <c r="D22" s="169"/>
      <c r="E22" s="169"/>
      <c r="F22" s="169"/>
      <c r="G22" s="169"/>
      <c r="H22" s="169"/>
      <c r="I22" s="169"/>
      <c r="J22" s="169"/>
      <c r="K22" s="169"/>
      <c r="L22" s="169"/>
      <c r="M22" s="169"/>
      <c r="N22" s="170"/>
    </row>
    <row r="23" spans="2:14" ht="20.149999999999999" customHeight="1">
      <c r="B23" s="168"/>
      <c r="C23" s="169"/>
      <c r="D23" s="169"/>
      <c r="E23" s="169"/>
      <c r="F23" s="169"/>
      <c r="G23" s="169"/>
      <c r="H23" s="169"/>
      <c r="I23" s="169"/>
      <c r="J23" s="169"/>
      <c r="K23" s="169"/>
      <c r="L23" s="169"/>
      <c r="M23" s="169"/>
      <c r="N23" s="170"/>
    </row>
    <row r="24" spans="2:14" ht="20.149999999999999" customHeight="1">
      <c r="B24" s="168"/>
      <c r="C24" s="169"/>
      <c r="D24" s="169"/>
      <c r="E24" s="169"/>
      <c r="F24" s="169"/>
      <c r="G24" s="169"/>
      <c r="H24" s="169"/>
      <c r="I24" s="169"/>
      <c r="J24" s="169"/>
      <c r="K24" s="169"/>
      <c r="L24" s="169"/>
      <c r="M24" s="169"/>
      <c r="N24" s="170"/>
    </row>
    <row r="25" spans="2:14" ht="20.149999999999999" customHeight="1" thickBot="1">
      <c r="B25" s="171"/>
      <c r="C25" s="172"/>
      <c r="D25" s="172"/>
      <c r="E25" s="172"/>
      <c r="F25" s="172"/>
      <c r="G25" s="172"/>
      <c r="H25" s="172"/>
      <c r="I25" s="172"/>
      <c r="J25" s="172"/>
      <c r="K25" s="172"/>
      <c r="L25" s="172"/>
      <c r="M25" s="172"/>
      <c r="N25" s="173"/>
    </row>
    <row r="26" spans="2:14" ht="20.149999999999999" customHeight="1">
      <c r="B26" s="161"/>
      <c r="C26" s="161"/>
      <c r="D26" s="161"/>
      <c r="E26" s="161"/>
      <c r="F26" s="161"/>
      <c r="G26" s="161"/>
      <c r="H26" s="161"/>
      <c r="I26" s="161"/>
      <c r="J26" s="161"/>
      <c r="K26" s="161"/>
      <c r="L26" s="161"/>
      <c r="M26" s="161"/>
      <c r="N26" s="161"/>
    </row>
    <row r="27" spans="2:14" ht="20.149999999999999" customHeight="1">
      <c r="B27" s="161"/>
      <c r="C27" s="161"/>
      <c r="D27" s="161"/>
      <c r="E27" s="161"/>
      <c r="F27" s="161"/>
      <c r="G27" s="161"/>
      <c r="H27" s="161"/>
      <c r="I27" s="161"/>
      <c r="J27" s="161"/>
      <c r="K27" s="161"/>
      <c r="L27" s="161"/>
      <c r="M27" s="161"/>
      <c r="N27" s="161"/>
    </row>
    <row r="28" spans="2:14" ht="20.149999999999999" customHeight="1">
      <c r="B28" s="160" t="s">
        <v>174</v>
      </c>
    </row>
    <row r="29" spans="2:14" ht="20.149999999999999" customHeight="1">
      <c r="B29" s="160" t="s">
        <v>175</v>
      </c>
    </row>
    <row r="30" spans="2:14" ht="20.149999999999999" customHeight="1">
      <c r="B30" s="160" t="s">
        <v>176</v>
      </c>
    </row>
    <row r="31" spans="2:14" ht="20.149999999999999" customHeight="1">
      <c r="B31" s="160" t="s">
        <v>178</v>
      </c>
    </row>
    <row r="32" spans="2:14" ht="20.149999999999999" customHeight="1">
      <c r="B32" s="160" t="s">
        <v>179</v>
      </c>
    </row>
    <row r="33" spans="2:2">
      <c r="B33" s="160" t="s">
        <v>180</v>
      </c>
    </row>
    <row r="34" spans="2:2">
      <c r="B34" s="160" t="s">
        <v>183</v>
      </c>
    </row>
  </sheetData>
  <mergeCells count="4">
    <mergeCell ref="B2:O2"/>
    <mergeCell ref="B4:O4"/>
    <mergeCell ref="B6:N6"/>
    <mergeCell ref="B8:N2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pageSetUpPr fitToPage="1"/>
  </sheetPr>
  <dimension ref="A1:DF276"/>
  <sheetViews>
    <sheetView topLeftCell="BP1" zoomScale="80" zoomScaleNormal="80" workbookViewId="0">
      <selection activeCell="CM13" sqref="CM13"/>
    </sheetView>
  </sheetViews>
  <sheetFormatPr defaultColWidth="12.54296875" defaultRowHeight="15" customHeight="1"/>
  <cols>
    <col min="1" max="1" width="40.453125" style="9" customWidth="1"/>
    <col min="2" max="2" width="17.1796875" style="9" customWidth="1"/>
    <col min="3" max="3" width="12.453125" style="9" customWidth="1"/>
    <col min="4" max="4" width="14.453125" style="9" customWidth="1"/>
    <col min="5" max="6" width="4.453125" style="9" customWidth="1"/>
    <col min="7" max="7" width="14.81640625" style="9" bestFit="1" customWidth="1"/>
    <col min="8" max="8" width="7" style="9" customWidth="1"/>
    <col min="9" max="9" width="12.7265625" style="9" customWidth="1"/>
    <col min="10" max="10" width="12.453125" style="9" customWidth="1"/>
    <col min="11" max="11" width="14.453125" style="9" customWidth="1"/>
    <col min="12" max="12" width="5" style="9" customWidth="1"/>
    <col min="13" max="13" width="4.453125" style="9" customWidth="1"/>
    <col min="14" max="14" width="14.81640625" style="9" bestFit="1" customWidth="1"/>
    <col min="15" max="15" width="7" style="9" customWidth="1"/>
    <col min="16" max="17" width="12.453125" style="9" customWidth="1"/>
    <col min="18" max="18" width="14.453125" style="9" customWidth="1"/>
    <col min="19" max="20" width="4.81640625" style="9" customWidth="1"/>
    <col min="21" max="21" width="14.81640625" style="9" bestFit="1" customWidth="1"/>
    <col min="22" max="22" width="7" style="9" customWidth="1"/>
    <col min="23" max="23" width="12.453125" style="9" customWidth="1"/>
    <col min="24" max="24" width="14.26953125" style="9" customWidth="1"/>
    <col min="25" max="25" width="14.7265625" style="9" customWidth="1"/>
    <col min="26" max="26" width="5.7265625" style="9" customWidth="1"/>
    <col min="27" max="27" width="5.26953125" style="9" customWidth="1"/>
    <col min="28" max="28" width="14.81640625" style="9" customWidth="1"/>
    <col min="29" max="29" width="7" style="9" customWidth="1"/>
    <col min="30" max="30" width="12.7265625" style="9" customWidth="1"/>
    <col min="31" max="31" width="12.453125" style="9" customWidth="1"/>
    <col min="32" max="32" width="14.453125" style="9" customWidth="1"/>
    <col min="33" max="34" width="5.26953125" style="9" customWidth="1"/>
    <col min="35" max="35" width="14.81640625" style="9" customWidth="1"/>
    <col min="36" max="36" width="7" style="9" customWidth="1"/>
    <col min="37" max="37" width="12.7265625" style="9" customWidth="1"/>
    <col min="38" max="38" width="12.453125" style="9" customWidth="1"/>
    <col min="39" max="39" width="14.453125" style="9" customWidth="1"/>
    <col min="40" max="40" width="5.81640625" style="9" customWidth="1"/>
    <col min="41" max="41" width="5" style="9" customWidth="1"/>
    <col min="42" max="42" width="14.81640625" style="9" customWidth="1"/>
    <col min="43" max="43" width="7" style="9" customWidth="1"/>
    <col min="44" max="44" width="12" style="9" customWidth="1"/>
    <col min="45" max="45" width="12.453125" style="9" customWidth="1"/>
    <col min="46" max="46" width="14.453125" style="9" customWidth="1"/>
    <col min="47" max="47" width="5.26953125" style="9" customWidth="1"/>
    <col min="48" max="48" width="5.1796875" style="9" customWidth="1"/>
    <col min="49" max="49" width="14.81640625" style="9" bestFit="1" customWidth="1"/>
    <col min="50" max="50" width="7" style="9" customWidth="1"/>
    <col min="51" max="51" width="12.7265625" style="9" customWidth="1"/>
    <col min="52" max="52" width="12.453125" style="9" customWidth="1"/>
    <col min="53" max="53" width="14.453125" style="9" customWidth="1"/>
    <col min="54" max="54" width="4.81640625" style="9" customWidth="1"/>
    <col min="55" max="55" width="5.7265625" style="9" customWidth="1"/>
    <col min="56" max="56" width="14.81640625" style="9" customWidth="1"/>
    <col min="57" max="57" width="7" style="9" customWidth="1"/>
    <col min="58" max="59" width="12.453125" style="9" customWidth="1"/>
    <col min="60" max="60" width="14.453125" style="9" customWidth="1"/>
    <col min="61" max="61" width="5" style="9" customWidth="1"/>
    <col min="62" max="62" width="5.453125" style="9" customWidth="1"/>
    <col min="63" max="63" width="14.81640625" style="9" customWidth="1"/>
    <col min="64" max="64" width="7" style="9" customWidth="1"/>
    <col min="65" max="65" width="12.7265625" style="9" customWidth="1"/>
    <col min="66" max="66" width="12.453125" style="9" customWidth="1"/>
    <col min="67" max="67" width="14.453125" style="9" customWidth="1"/>
    <col min="68" max="68" width="5.1796875" style="9" customWidth="1"/>
    <col min="69" max="69" width="5.453125" style="9" customWidth="1"/>
    <col min="70" max="70" width="14.81640625" style="9" bestFit="1" customWidth="1"/>
    <col min="71" max="71" width="7" style="9" customWidth="1"/>
    <col min="72" max="76" width="12.453125" style="9" customWidth="1"/>
    <col min="77" max="79" width="12.453125" style="9" hidden="1" customWidth="1"/>
    <col min="80" max="110" width="12.453125" style="9" customWidth="1"/>
    <col min="111" max="16384" width="12.54296875" style="9"/>
  </cols>
  <sheetData>
    <row r="1" spans="1:110" ht="15.75" customHeight="1">
      <c r="A1" s="180" t="s">
        <v>95</v>
      </c>
      <c r="B1" s="178"/>
      <c r="C1" s="178"/>
      <c r="D1" s="178"/>
      <c r="E1" s="178"/>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6"/>
      <c r="BU1" s="4"/>
      <c r="BV1" s="4"/>
      <c r="BW1" s="4"/>
      <c r="BX1" s="4"/>
    </row>
    <row r="2" spans="1:110" ht="15.75" customHeight="1">
      <c r="A2" s="19" t="s">
        <v>0</v>
      </c>
      <c r="B2" s="181" t="s">
        <v>1</v>
      </c>
      <c r="C2" s="178"/>
      <c r="D2" s="178"/>
      <c r="E2" s="178"/>
      <c r="F2" s="178"/>
      <c r="G2" s="178"/>
      <c r="H2" s="176"/>
      <c r="I2" s="182" t="s">
        <v>2</v>
      </c>
      <c r="J2" s="183"/>
      <c r="K2" s="183"/>
      <c r="L2" s="183"/>
      <c r="M2" s="183"/>
      <c r="N2" s="183"/>
      <c r="O2" s="184"/>
      <c r="P2" s="185" t="s">
        <v>3</v>
      </c>
      <c r="Q2" s="178"/>
      <c r="R2" s="178"/>
      <c r="S2" s="178"/>
      <c r="T2" s="178"/>
      <c r="U2" s="178"/>
      <c r="V2" s="176"/>
      <c r="W2" s="186" t="s">
        <v>4</v>
      </c>
      <c r="X2" s="178"/>
      <c r="Y2" s="178"/>
      <c r="Z2" s="178"/>
      <c r="AA2" s="178"/>
      <c r="AB2" s="178"/>
      <c r="AC2" s="176"/>
      <c r="AD2" s="187" t="s">
        <v>5</v>
      </c>
      <c r="AE2" s="178"/>
      <c r="AF2" s="178"/>
      <c r="AG2" s="178"/>
      <c r="AH2" s="178"/>
      <c r="AI2" s="178"/>
      <c r="AJ2" s="176"/>
      <c r="AK2" s="188" t="s">
        <v>6</v>
      </c>
      <c r="AL2" s="178"/>
      <c r="AM2" s="178"/>
      <c r="AN2" s="178"/>
      <c r="AO2" s="178"/>
      <c r="AP2" s="178"/>
      <c r="AQ2" s="176"/>
      <c r="AR2" s="189" t="s">
        <v>7</v>
      </c>
      <c r="AS2" s="190"/>
      <c r="AT2" s="190"/>
      <c r="AU2" s="190"/>
      <c r="AV2" s="190"/>
      <c r="AW2" s="190"/>
      <c r="AX2" s="191"/>
      <c r="AY2" s="192" t="s">
        <v>8</v>
      </c>
      <c r="AZ2" s="178"/>
      <c r="BA2" s="178"/>
      <c r="BB2" s="178"/>
      <c r="BC2" s="178"/>
      <c r="BD2" s="178"/>
      <c r="BE2" s="176"/>
      <c r="BF2" s="177" t="s">
        <v>9</v>
      </c>
      <c r="BG2" s="178"/>
      <c r="BH2" s="178"/>
      <c r="BI2" s="178"/>
      <c r="BJ2" s="178"/>
      <c r="BK2" s="178"/>
      <c r="BL2" s="176"/>
      <c r="BM2" s="179" t="s">
        <v>10</v>
      </c>
      <c r="BN2" s="178"/>
      <c r="BO2" s="178"/>
      <c r="BP2" s="178"/>
      <c r="BQ2" s="178"/>
      <c r="BR2" s="178"/>
      <c r="BS2" s="176"/>
      <c r="BT2" s="10"/>
      <c r="BU2" s="10"/>
      <c r="BV2" s="10"/>
      <c r="BW2" s="10"/>
      <c r="BX2" s="10"/>
      <c r="BY2" s="10"/>
      <c r="BZ2" s="10"/>
      <c r="CA2" s="10"/>
      <c r="CB2" s="10"/>
      <c r="CC2" s="10"/>
      <c r="CD2" s="10"/>
      <c r="CE2" s="10"/>
      <c r="CF2" s="10"/>
      <c r="CG2" s="10"/>
      <c r="CH2" s="10"/>
    </row>
    <row r="3" spans="1:110" ht="15.75" customHeight="1">
      <c r="A3" s="20"/>
      <c r="B3" s="20" t="s">
        <v>11</v>
      </c>
      <c r="C3" s="20" t="s">
        <v>12</v>
      </c>
      <c r="D3" s="20" t="s">
        <v>13</v>
      </c>
      <c r="E3" s="20" t="s">
        <v>14</v>
      </c>
      <c r="F3" s="20" t="s">
        <v>15</v>
      </c>
      <c r="G3" s="20" t="s">
        <v>108</v>
      </c>
      <c r="H3" s="20" t="s">
        <v>16</v>
      </c>
      <c r="I3" s="20" t="s">
        <v>11</v>
      </c>
      <c r="J3" s="20" t="s">
        <v>12</v>
      </c>
      <c r="K3" s="20" t="s">
        <v>13</v>
      </c>
      <c r="L3" s="20" t="s">
        <v>17</v>
      </c>
      <c r="M3" s="20" t="s">
        <v>15</v>
      </c>
      <c r="N3" s="20" t="s">
        <v>108</v>
      </c>
      <c r="O3" s="20" t="s">
        <v>16</v>
      </c>
      <c r="P3" s="20" t="s">
        <v>11</v>
      </c>
      <c r="Q3" s="20" t="s">
        <v>12</v>
      </c>
      <c r="R3" s="20" t="s">
        <v>13</v>
      </c>
      <c r="S3" s="20" t="s">
        <v>17</v>
      </c>
      <c r="T3" s="20" t="s">
        <v>15</v>
      </c>
      <c r="U3" s="20" t="s">
        <v>108</v>
      </c>
      <c r="V3" s="20" t="s">
        <v>16</v>
      </c>
      <c r="W3" s="20" t="s">
        <v>11</v>
      </c>
      <c r="X3" s="20" t="s">
        <v>12</v>
      </c>
      <c r="Y3" s="20" t="s">
        <v>13</v>
      </c>
      <c r="Z3" s="20" t="s">
        <v>17</v>
      </c>
      <c r="AA3" s="20" t="s">
        <v>15</v>
      </c>
      <c r="AB3" s="20" t="s">
        <v>108</v>
      </c>
      <c r="AC3" s="20" t="s">
        <v>16</v>
      </c>
      <c r="AD3" s="20" t="s">
        <v>11</v>
      </c>
      <c r="AE3" s="20" t="s">
        <v>12</v>
      </c>
      <c r="AF3" s="20" t="s">
        <v>13</v>
      </c>
      <c r="AG3" s="20" t="s">
        <v>17</v>
      </c>
      <c r="AH3" s="20" t="s">
        <v>15</v>
      </c>
      <c r="AI3" s="20" t="s">
        <v>108</v>
      </c>
      <c r="AJ3" s="20" t="s">
        <v>16</v>
      </c>
      <c r="AK3" s="20" t="s">
        <v>11</v>
      </c>
      <c r="AL3" s="20" t="s">
        <v>12</v>
      </c>
      <c r="AM3" s="20" t="s">
        <v>13</v>
      </c>
      <c r="AN3" s="20" t="s">
        <v>17</v>
      </c>
      <c r="AO3" s="20" t="s">
        <v>15</v>
      </c>
      <c r="AP3" s="20" t="s">
        <v>108</v>
      </c>
      <c r="AQ3" s="20" t="s">
        <v>16</v>
      </c>
      <c r="AR3" s="20" t="s">
        <v>11</v>
      </c>
      <c r="AS3" s="20" t="s">
        <v>12</v>
      </c>
      <c r="AT3" s="20" t="s">
        <v>13</v>
      </c>
      <c r="AU3" s="20" t="s">
        <v>17</v>
      </c>
      <c r="AV3" s="20" t="s">
        <v>15</v>
      </c>
      <c r="AW3" s="20" t="s">
        <v>108</v>
      </c>
      <c r="AX3" s="20" t="s">
        <v>16</v>
      </c>
      <c r="AY3" s="20" t="s">
        <v>11</v>
      </c>
      <c r="AZ3" s="20" t="s">
        <v>12</v>
      </c>
      <c r="BA3" s="20" t="s">
        <v>13</v>
      </c>
      <c r="BB3" s="20" t="s">
        <v>17</v>
      </c>
      <c r="BC3" s="20" t="s">
        <v>15</v>
      </c>
      <c r="BD3" s="20" t="s">
        <v>108</v>
      </c>
      <c r="BE3" s="20" t="s">
        <v>16</v>
      </c>
      <c r="BF3" s="20" t="s">
        <v>11</v>
      </c>
      <c r="BG3" s="20" t="s">
        <v>12</v>
      </c>
      <c r="BH3" s="20" t="s">
        <v>13</v>
      </c>
      <c r="BI3" s="20" t="s">
        <v>17</v>
      </c>
      <c r="BJ3" s="20" t="s">
        <v>15</v>
      </c>
      <c r="BK3" s="20" t="s">
        <v>108</v>
      </c>
      <c r="BL3" s="20" t="s">
        <v>16</v>
      </c>
      <c r="BM3" s="20" t="s">
        <v>11</v>
      </c>
      <c r="BN3" s="20" t="s">
        <v>12</v>
      </c>
      <c r="BO3" s="20" t="s">
        <v>13</v>
      </c>
      <c r="BP3" s="20" t="s">
        <v>17</v>
      </c>
      <c r="BQ3" s="20" t="s">
        <v>15</v>
      </c>
      <c r="BR3" s="20" t="s">
        <v>108</v>
      </c>
      <c r="BS3" s="20" t="s">
        <v>16</v>
      </c>
      <c r="BT3" s="11"/>
      <c r="BU3" s="98" t="s">
        <v>18</v>
      </c>
      <c r="BV3" s="98" t="s">
        <v>19</v>
      </c>
      <c r="BW3" s="98" t="s">
        <v>20</v>
      </c>
      <c r="BX3" s="98" t="s">
        <v>106</v>
      </c>
      <c r="BY3" s="98"/>
      <c r="BZ3" s="98"/>
      <c r="CA3" s="98"/>
      <c r="CB3" s="99"/>
      <c r="CC3" s="99"/>
      <c r="CD3" s="100" t="s">
        <v>21</v>
      </c>
      <c r="CE3" s="101" t="s">
        <v>22</v>
      </c>
      <c r="CF3" s="101" t="s">
        <v>23</v>
      </c>
      <c r="CG3" s="101" t="s">
        <v>24</v>
      </c>
      <c r="CH3" s="101" t="s">
        <v>25</v>
      </c>
      <c r="CI3" s="101" t="s">
        <v>26</v>
      </c>
      <c r="CJ3" s="101" t="s">
        <v>27</v>
      </c>
      <c r="CK3" s="101" t="s">
        <v>28</v>
      </c>
      <c r="CL3" s="101" t="s">
        <v>29</v>
      </c>
      <c r="CM3" s="101" t="s">
        <v>30</v>
      </c>
      <c r="CN3" s="102" t="s">
        <v>31</v>
      </c>
      <c r="CO3" s="2"/>
      <c r="CP3" s="2"/>
      <c r="CQ3" s="2"/>
      <c r="CR3" s="12"/>
      <c r="CS3" s="12"/>
      <c r="CT3" s="12"/>
      <c r="CU3" s="12"/>
      <c r="CV3" s="12"/>
      <c r="CW3" s="12"/>
      <c r="CX3" s="12"/>
      <c r="CY3" s="12"/>
      <c r="CZ3" s="12"/>
      <c r="DA3" s="12"/>
      <c r="DB3" s="12"/>
      <c r="DC3" s="12"/>
      <c r="DD3" s="12"/>
      <c r="DE3" s="12"/>
      <c r="DF3" s="12"/>
    </row>
    <row r="4" spans="1:110" ht="15.75" customHeight="1">
      <c r="A4" s="21" t="s">
        <v>32</v>
      </c>
      <c r="B4" s="22" t="s">
        <v>33</v>
      </c>
      <c r="C4" s="23">
        <v>127</v>
      </c>
      <c r="D4" s="24">
        <v>2</v>
      </c>
      <c r="E4" s="25">
        <v>8</v>
      </c>
      <c r="F4" s="26">
        <v>5</v>
      </c>
      <c r="G4" s="24">
        <v>1</v>
      </c>
      <c r="H4" s="27" t="s">
        <v>20</v>
      </c>
      <c r="I4" s="28" t="s">
        <v>91</v>
      </c>
      <c r="J4" s="29">
        <v>224</v>
      </c>
      <c r="K4" s="30">
        <v>4</v>
      </c>
      <c r="L4" s="31">
        <v>21</v>
      </c>
      <c r="M4" s="32">
        <v>14</v>
      </c>
      <c r="N4" s="30">
        <v>8</v>
      </c>
      <c r="O4" s="33" t="s">
        <v>19</v>
      </c>
      <c r="P4" s="34" t="s">
        <v>54</v>
      </c>
      <c r="Q4" s="23">
        <v>162</v>
      </c>
      <c r="R4" s="35">
        <v>7</v>
      </c>
      <c r="S4" s="36">
        <v>15</v>
      </c>
      <c r="T4" s="37">
        <v>3</v>
      </c>
      <c r="U4" s="35">
        <v>4</v>
      </c>
      <c r="V4" s="27" t="s">
        <v>20</v>
      </c>
      <c r="W4" s="38" t="s">
        <v>45</v>
      </c>
      <c r="X4" s="39">
        <v>204</v>
      </c>
      <c r="Y4" s="40">
        <v>9</v>
      </c>
      <c r="Z4" s="41">
        <v>17</v>
      </c>
      <c r="AA4" s="42">
        <v>13</v>
      </c>
      <c r="AB4" s="40">
        <v>4</v>
      </c>
      <c r="AC4" s="33" t="s">
        <v>19</v>
      </c>
      <c r="AD4" s="22" t="s">
        <v>50</v>
      </c>
      <c r="AE4" s="29">
        <v>128</v>
      </c>
      <c r="AF4" s="43">
        <v>10</v>
      </c>
      <c r="AG4" s="44">
        <v>12</v>
      </c>
      <c r="AH4" s="45">
        <v>7</v>
      </c>
      <c r="AI4" s="43">
        <v>7</v>
      </c>
      <c r="AJ4" s="33" t="s">
        <v>19</v>
      </c>
      <c r="AK4" s="46" t="s">
        <v>46</v>
      </c>
      <c r="AL4" s="29">
        <v>145</v>
      </c>
      <c r="AM4" s="47">
        <v>10</v>
      </c>
      <c r="AN4" s="48">
        <v>9</v>
      </c>
      <c r="AO4" s="49">
        <v>6</v>
      </c>
      <c r="AP4" s="47">
        <v>2</v>
      </c>
      <c r="AQ4" s="33" t="s">
        <v>19</v>
      </c>
      <c r="AR4" s="50" t="s">
        <v>49</v>
      </c>
      <c r="AS4" s="29">
        <v>165</v>
      </c>
      <c r="AT4" s="34">
        <v>6</v>
      </c>
      <c r="AU4" s="51">
        <v>6</v>
      </c>
      <c r="AV4" s="52">
        <v>14</v>
      </c>
      <c r="AW4" s="34">
        <v>12</v>
      </c>
      <c r="AX4" s="33" t="s">
        <v>19</v>
      </c>
      <c r="AY4" s="46" t="s">
        <v>53</v>
      </c>
      <c r="AZ4" s="23">
        <v>141</v>
      </c>
      <c r="BA4" s="53">
        <v>4</v>
      </c>
      <c r="BB4" s="54">
        <v>11</v>
      </c>
      <c r="BC4" s="55">
        <v>5</v>
      </c>
      <c r="BD4" s="53">
        <v>16</v>
      </c>
      <c r="BE4" s="27" t="s">
        <v>20</v>
      </c>
      <c r="BF4" s="56" t="s">
        <v>51</v>
      </c>
      <c r="BG4" s="23">
        <v>220</v>
      </c>
      <c r="BH4" s="57">
        <v>4</v>
      </c>
      <c r="BI4" s="58">
        <v>20</v>
      </c>
      <c r="BJ4" s="59">
        <v>10</v>
      </c>
      <c r="BK4" s="57">
        <v>4</v>
      </c>
      <c r="BL4" s="27" t="s">
        <v>20</v>
      </c>
      <c r="BM4" s="38" t="s">
        <v>48</v>
      </c>
      <c r="BN4" s="23">
        <v>201</v>
      </c>
      <c r="BO4" s="60">
        <v>4</v>
      </c>
      <c r="BP4" s="61">
        <v>15</v>
      </c>
      <c r="BQ4" s="62">
        <v>11</v>
      </c>
      <c r="BR4" s="60">
        <v>7</v>
      </c>
      <c r="BS4" s="27" t="s">
        <v>20</v>
      </c>
      <c r="BT4" s="5"/>
      <c r="BU4" s="103" t="s">
        <v>22</v>
      </c>
      <c r="BV4" s="104">
        <f t="shared" ref="BV4" si="0">H18</f>
        <v>5</v>
      </c>
      <c r="BW4" s="104">
        <f t="shared" ref="BW4" si="1">H19</f>
        <v>5</v>
      </c>
      <c r="BX4" s="104"/>
      <c r="BY4" s="105"/>
      <c r="BZ4" s="105"/>
      <c r="CA4" s="105"/>
      <c r="CB4" s="106"/>
      <c r="CC4" s="106"/>
      <c r="CD4" s="107">
        <v>1</v>
      </c>
      <c r="CE4" s="108">
        <v>0</v>
      </c>
      <c r="CF4" s="108">
        <v>2</v>
      </c>
      <c r="CG4" s="108">
        <v>0</v>
      </c>
      <c r="CH4" s="108">
        <v>2</v>
      </c>
      <c r="CI4" s="108">
        <v>2</v>
      </c>
      <c r="CJ4" s="108">
        <v>2</v>
      </c>
      <c r="CK4" s="108">
        <v>2</v>
      </c>
      <c r="CL4" s="108">
        <v>0</v>
      </c>
      <c r="CM4" s="108">
        <v>0</v>
      </c>
      <c r="CN4" s="109">
        <v>0</v>
      </c>
      <c r="CO4" s="3"/>
      <c r="CP4" s="3"/>
      <c r="CQ4" s="4"/>
    </row>
    <row r="5" spans="1:110" ht="15.75" customHeight="1">
      <c r="A5" s="21" t="s">
        <v>42</v>
      </c>
      <c r="B5" s="63" t="s">
        <v>35</v>
      </c>
      <c r="C5" s="23">
        <v>209</v>
      </c>
      <c r="D5" s="24">
        <v>5</v>
      </c>
      <c r="E5" s="25">
        <v>21</v>
      </c>
      <c r="F5" s="26">
        <v>7</v>
      </c>
      <c r="G5" s="24">
        <v>8</v>
      </c>
      <c r="H5" s="27" t="s">
        <v>20</v>
      </c>
      <c r="I5" s="64" t="s">
        <v>40</v>
      </c>
      <c r="J5" s="23">
        <v>162</v>
      </c>
      <c r="K5" s="30">
        <v>4</v>
      </c>
      <c r="L5" s="31">
        <v>17</v>
      </c>
      <c r="M5" s="32">
        <v>4</v>
      </c>
      <c r="N5" s="30">
        <v>4</v>
      </c>
      <c r="O5" s="27" t="s">
        <v>20</v>
      </c>
      <c r="P5" s="65" t="s">
        <v>41</v>
      </c>
      <c r="Q5" s="66">
        <v>204</v>
      </c>
      <c r="R5" s="35">
        <v>6</v>
      </c>
      <c r="S5" s="36">
        <v>24</v>
      </c>
      <c r="T5" s="37">
        <v>7</v>
      </c>
      <c r="U5" s="35">
        <v>13</v>
      </c>
      <c r="V5" s="27" t="s">
        <v>20</v>
      </c>
      <c r="W5" s="38" t="s">
        <v>50</v>
      </c>
      <c r="X5" s="67">
        <v>250</v>
      </c>
      <c r="Y5" s="40">
        <v>10</v>
      </c>
      <c r="Z5" s="41">
        <v>16</v>
      </c>
      <c r="AA5" s="42">
        <v>19</v>
      </c>
      <c r="AB5" s="40">
        <v>5</v>
      </c>
      <c r="AC5" s="33" t="s">
        <v>19</v>
      </c>
      <c r="AD5" s="65" t="s">
        <v>39</v>
      </c>
      <c r="AE5" s="68">
        <v>210</v>
      </c>
      <c r="AF5" s="43">
        <v>8</v>
      </c>
      <c r="AG5" s="44">
        <v>18</v>
      </c>
      <c r="AH5" s="45">
        <v>12</v>
      </c>
      <c r="AI5" s="43">
        <v>8</v>
      </c>
      <c r="AJ5" s="33" t="s">
        <v>19</v>
      </c>
      <c r="AK5" s="64" t="s">
        <v>44</v>
      </c>
      <c r="AL5" s="29">
        <v>164</v>
      </c>
      <c r="AM5" s="47">
        <v>6</v>
      </c>
      <c r="AN5" s="48">
        <v>17</v>
      </c>
      <c r="AO5" s="49">
        <v>8</v>
      </c>
      <c r="AP5" s="47">
        <v>4</v>
      </c>
      <c r="AQ5" s="33" t="s">
        <v>19</v>
      </c>
      <c r="AR5" s="63" t="s">
        <v>34</v>
      </c>
      <c r="AS5" s="29">
        <v>210</v>
      </c>
      <c r="AT5" s="34">
        <v>5</v>
      </c>
      <c r="AU5" s="51">
        <v>23</v>
      </c>
      <c r="AV5" s="52">
        <v>9</v>
      </c>
      <c r="AW5" s="34">
        <v>16</v>
      </c>
      <c r="AX5" s="33" t="s">
        <v>19</v>
      </c>
      <c r="AY5" s="69" t="s">
        <v>37</v>
      </c>
      <c r="AZ5" s="29">
        <v>160</v>
      </c>
      <c r="BA5" s="53">
        <v>9</v>
      </c>
      <c r="BB5" s="54">
        <v>20</v>
      </c>
      <c r="BC5" s="55">
        <v>2</v>
      </c>
      <c r="BD5" s="53">
        <v>0</v>
      </c>
      <c r="BE5" s="33" t="s">
        <v>19</v>
      </c>
      <c r="BF5" s="70" t="s">
        <v>45</v>
      </c>
      <c r="BG5" s="66">
        <v>161</v>
      </c>
      <c r="BH5" s="57">
        <v>8</v>
      </c>
      <c r="BI5" s="58">
        <v>16</v>
      </c>
      <c r="BJ5" s="59">
        <v>7</v>
      </c>
      <c r="BK5" s="57">
        <v>9</v>
      </c>
      <c r="BL5" s="27" t="s">
        <v>20</v>
      </c>
      <c r="BM5" s="70" t="s">
        <v>36</v>
      </c>
      <c r="BN5" s="68">
        <v>226</v>
      </c>
      <c r="BO5" s="60">
        <v>10</v>
      </c>
      <c r="BP5" s="61">
        <v>24</v>
      </c>
      <c r="BQ5" s="62">
        <v>9</v>
      </c>
      <c r="BR5" s="60">
        <v>8</v>
      </c>
      <c r="BS5" s="33" t="s">
        <v>19</v>
      </c>
      <c r="BT5" s="5"/>
      <c r="BU5" s="103" t="s">
        <v>27</v>
      </c>
      <c r="BV5" s="104">
        <f>AQ18</f>
        <v>4</v>
      </c>
      <c r="BW5" s="104">
        <f>AQ19</f>
        <v>6</v>
      </c>
      <c r="BX5" s="104"/>
      <c r="BY5" s="105"/>
      <c r="BZ5" s="105"/>
      <c r="CA5" s="105"/>
      <c r="CB5" s="106"/>
      <c r="CC5" s="106"/>
      <c r="CD5" s="107">
        <v>2</v>
      </c>
      <c r="CE5" s="108">
        <v>0</v>
      </c>
      <c r="CF5" s="108">
        <v>2</v>
      </c>
      <c r="CG5" s="108">
        <v>0</v>
      </c>
      <c r="CH5" s="108">
        <v>4</v>
      </c>
      <c r="CI5" s="108">
        <v>4</v>
      </c>
      <c r="CJ5" s="108">
        <v>4</v>
      </c>
      <c r="CK5" s="108">
        <v>4</v>
      </c>
      <c r="CL5" s="108">
        <v>2</v>
      </c>
      <c r="CM5" s="108">
        <v>0</v>
      </c>
      <c r="CN5" s="109">
        <v>2</v>
      </c>
      <c r="CO5" s="5"/>
      <c r="CP5" s="5"/>
      <c r="CQ5" s="4"/>
    </row>
    <row r="6" spans="1:110" ht="15.75" customHeight="1">
      <c r="A6" s="21" t="s">
        <v>47</v>
      </c>
      <c r="B6" s="38" t="s">
        <v>62</v>
      </c>
      <c r="C6" s="66">
        <v>207</v>
      </c>
      <c r="D6" s="24">
        <v>3</v>
      </c>
      <c r="E6" s="25">
        <v>21</v>
      </c>
      <c r="F6" s="26">
        <v>11</v>
      </c>
      <c r="G6" s="24">
        <v>4</v>
      </c>
      <c r="H6" s="27" t="s">
        <v>20</v>
      </c>
      <c r="I6" s="22" t="s">
        <v>33</v>
      </c>
      <c r="J6" s="66">
        <v>123</v>
      </c>
      <c r="K6" s="30">
        <v>3</v>
      </c>
      <c r="L6" s="31">
        <v>12</v>
      </c>
      <c r="M6" s="32">
        <v>5</v>
      </c>
      <c r="N6" s="30">
        <v>6</v>
      </c>
      <c r="O6" s="27" t="s">
        <v>20</v>
      </c>
      <c r="P6" s="64" t="s">
        <v>40</v>
      </c>
      <c r="Q6" s="68">
        <v>210</v>
      </c>
      <c r="R6" s="35">
        <v>8</v>
      </c>
      <c r="S6" s="36">
        <v>16</v>
      </c>
      <c r="T6" s="37">
        <v>13</v>
      </c>
      <c r="U6" s="35">
        <v>8</v>
      </c>
      <c r="V6" s="33" t="s">
        <v>19</v>
      </c>
      <c r="W6" s="22" t="s">
        <v>33</v>
      </c>
      <c r="X6" s="23">
        <v>201</v>
      </c>
      <c r="Y6" s="40">
        <v>4</v>
      </c>
      <c r="Z6" s="41">
        <v>20</v>
      </c>
      <c r="AA6" s="42">
        <v>7</v>
      </c>
      <c r="AB6" s="40">
        <v>2</v>
      </c>
      <c r="AC6" s="27" t="s">
        <v>20</v>
      </c>
      <c r="AD6" s="22" t="s">
        <v>44</v>
      </c>
      <c r="AE6" s="68">
        <v>150</v>
      </c>
      <c r="AF6" s="43">
        <v>9</v>
      </c>
      <c r="AG6" s="44">
        <v>12</v>
      </c>
      <c r="AH6" s="45">
        <v>11</v>
      </c>
      <c r="AI6" s="43">
        <v>6</v>
      </c>
      <c r="AJ6" s="33" t="s">
        <v>19</v>
      </c>
      <c r="AK6" s="64" t="s">
        <v>49</v>
      </c>
      <c r="AL6" s="66">
        <v>209</v>
      </c>
      <c r="AM6" s="47">
        <v>4</v>
      </c>
      <c r="AN6" s="48">
        <v>23</v>
      </c>
      <c r="AO6" s="49">
        <v>8</v>
      </c>
      <c r="AP6" s="47">
        <v>6</v>
      </c>
      <c r="AQ6" s="27" t="s">
        <v>20</v>
      </c>
      <c r="AR6" s="70" t="s">
        <v>36</v>
      </c>
      <c r="AS6" s="71" t="s">
        <v>107</v>
      </c>
      <c r="AT6" s="34">
        <v>2</v>
      </c>
      <c r="AU6" s="51" t="s">
        <v>107</v>
      </c>
      <c r="AV6" s="52" t="s">
        <v>107</v>
      </c>
      <c r="AW6" s="34">
        <v>0</v>
      </c>
      <c r="AX6" s="34" t="s">
        <v>106</v>
      </c>
      <c r="AY6" s="70" t="s">
        <v>36</v>
      </c>
      <c r="AZ6" s="29">
        <v>182</v>
      </c>
      <c r="BA6" s="53">
        <v>4</v>
      </c>
      <c r="BB6" s="54">
        <v>13</v>
      </c>
      <c r="BC6" s="55">
        <v>12</v>
      </c>
      <c r="BD6" s="53">
        <v>7</v>
      </c>
      <c r="BE6" s="33" t="s">
        <v>19</v>
      </c>
      <c r="BF6" s="70" t="s">
        <v>35</v>
      </c>
      <c r="BG6" s="71">
        <v>25</v>
      </c>
      <c r="BH6" s="57" t="s">
        <v>107</v>
      </c>
      <c r="BI6" s="58">
        <v>3</v>
      </c>
      <c r="BJ6" s="59" t="s">
        <v>107</v>
      </c>
      <c r="BK6" s="57" t="s">
        <v>107</v>
      </c>
      <c r="BL6" s="57" t="s">
        <v>106</v>
      </c>
      <c r="BM6" s="69" t="s">
        <v>38</v>
      </c>
      <c r="BN6" s="23">
        <v>156</v>
      </c>
      <c r="BO6" s="60">
        <v>5</v>
      </c>
      <c r="BP6" s="61">
        <v>11</v>
      </c>
      <c r="BQ6" s="62">
        <v>8</v>
      </c>
      <c r="BR6" s="60">
        <v>0</v>
      </c>
      <c r="BS6" s="27" t="s">
        <v>20</v>
      </c>
      <c r="BU6" s="99" t="s">
        <v>24</v>
      </c>
      <c r="BV6" s="110">
        <f>V18</f>
        <v>6</v>
      </c>
      <c r="BW6" s="110">
        <f>V19</f>
        <v>4</v>
      </c>
      <c r="BX6" s="110"/>
      <c r="BY6" s="111"/>
      <c r="BZ6" s="111"/>
      <c r="CA6" s="111"/>
      <c r="CB6" s="99"/>
      <c r="CC6" s="99"/>
      <c r="CD6" s="107">
        <v>3</v>
      </c>
      <c r="CE6" s="108">
        <v>0</v>
      </c>
      <c r="CF6" s="108">
        <v>2</v>
      </c>
      <c r="CG6" s="108">
        <v>2</v>
      </c>
      <c r="CH6" s="108">
        <v>4</v>
      </c>
      <c r="CI6" s="108">
        <v>6</v>
      </c>
      <c r="CJ6" s="108">
        <v>4</v>
      </c>
      <c r="CK6" s="108">
        <v>5</v>
      </c>
      <c r="CL6" s="108">
        <v>4</v>
      </c>
      <c r="CM6" s="108">
        <v>1</v>
      </c>
      <c r="CN6" s="109">
        <v>2</v>
      </c>
      <c r="CO6" s="4"/>
      <c r="CP6" s="4"/>
      <c r="CQ6" s="4"/>
    </row>
    <row r="7" spans="1:110" ht="15.75" customHeight="1">
      <c r="A7" s="21" t="s">
        <v>52</v>
      </c>
      <c r="B7" s="63" t="s">
        <v>53</v>
      </c>
      <c r="C7" s="68">
        <v>212</v>
      </c>
      <c r="D7" s="24">
        <v>10</v>
      </c>
      <c r="E7" s="25">
        <v>21</v>
      </c>
      <c r="F7" s="26">
        <v>9</v>
      </c>
      <c r="G7" s="24">
        <v>14</v>
      </c>
      <c r="H7" s="33" t="s">
        <v>19</v>
      </c>
      <c r="I7" s="28" t="s">
        <v>43</v>
      </c>
      <c r="J7" s="66">
        <v>222</v>
      </c>
      <c r="K7" s="30">
        <v>4</v>
      </c>
      <c r="L7" s="31">
        <v>18</v>
      </c>
      <c r="M7" s="32">
        <v>14</v>
      </c>
      <c r="N7" s="30">
        <v>12</v>
      </c>
      <c r="O7" s="27" t="s">
        <v>20</v>
      </c>
      <c r="P7" s="46" t="s">
        <v>46</v>
      </c>
      <c r="Q7" s="29">
        <v>165</v>
      </c>
      <c r="R7" s="35">
        <v>8</v>
      </c>
      <c r="S7" s="36">
        <v>23</v>
      </c>
      <c r="T7" s="37">
        <v>2</v>
      </c>
      <c r="U7" s="35">
        <v>3</v>
      </c>
      <c r="V7" s="33" t="s">
        <v>19</v>
      </c>
      <c r="W7" s="56" t="s">
        <v>51</v>
      </c>
      <c r="X7" s="67">
        <v>240</v>
      </c>
      <c r="Y7" s="40">
        <v>5</v>
      </c>
      <c r="Z7" s="41">
        <v>18</v>
      </c>
      <c r="AA7" s="42">
        <v>15</v>
      </c>
      <c r="AB7" s="40">
        <v>10</v>
      </c>
      <c r="AC7" s="33" t="s">
        <v>19</v>
      </c>
      <c r="AD7" s="22" t="s">
        <v>43</v>
      </c>
      <c r="AE7" s="29">
        <v>202</v>
      </c>
      <c r="AF7" s="43">
        <v>8</v>
      </c>
      <c r="AG7" s="44">
        <v>17</v>
      </c>
      <c r="AH7" s="45">
        <v>12</v>
      </c>
      <c r="AI7" s="43">
        <v>7</v>
      </c>
      <c r="AJ7" s="33" t="s">
        <v>19</v>
      </c>
      <c r="AK7" s="63" t="s">
        <v>34</v>
      </c>
      <c r="AL7" s="66">
        <v>189</v>
      </c>
      <c r="AM7" s="47">
        <v>2</v>
      </c>
      <c r="AN7" s="48">
        <v>15</v>
      </c>
      <c r="AO7" s="49">
        <v>9</v>
      </c>
      <c r="AP7" s="47">
        <v>3</v>
      </c>
      <c r="AQ7" s="27" t="s">
        <v>20</v>
      </c>
      <c r="AR7" s="50" t="s">
        <v>45</v>
      </c>
      <c r="AS7" s="29">
        <v>223</v>
      </c>
      <c r="AT7" s="34">
        <v>6</v>
      </c>
      <c r="AU7" s="51">
        <v>16</v>
      </c>
      <c r="AV7" s="52">
        <v>16</v>
      </c>
      <c r="AW7" s="34">
        <v>5</v>
      </c>
      <c r="AX7" s="33" t="s">
        <v>19</v>
      </c>
      <c r="AY7" s="46" t="s">
        <v>49</v>
      </c>
      <c r="AZ7" s="23">
        <v>164</v>
      </c>
      <c r="BA7" s="53">
        <v>3</v>
      </c>
      <c r="BB7" s="54">
        <v>17</v>
      </c>
      <c r="BC7" s="55">
        <v>7</v>
      </c>
      <c r="BD7" s="53">
        <v>3</v>
      </c>
      <c r="BE7" s="27" t="s">
        <v>20</v>
      </c>
      <c r="BF7" s="70" t="s">
        <v>38</v>
      </c>
      <c r="BG7" s="23">
        <v>181</v>
      </c>
      <c r="BH7" s="57">
        <v>7</v>
      </c>
      <c r="BI7" s="58">
        <v>18</v>
      </c>
      <c r="BJ7" s="59">
        <v>7</v>
      </c>
      <c r="BK7" s="57">
        <v>7</v>
      </c>
      <c r="BL7" s="27" t="s">
        <v>20</v>
      </c>
      <c r="BM7" s="50" t="s">
        <v>54</v>
      </c>
      <c r="BN7" s="23">
        <v>219</v>
      </c>
      <c r="BO7" s="60">
        <v>4</v>
      </c>
      <c r="BP7" s="61">
        <v>15</v>
      </c>
      <c r="BQ7" s="62">
        <v>13</v>
      </c>
      <c r="BR7" s="60">
        <v>5</v>
      </c>
      <c r="BS7" s="27" t="s">
        <v>20</v>
      </c>
      <c r="BU7" s="99" t="s">
        <v>30</v>
      </c>
      <c r="BV7" s="110">
        <f>BL18</f>
        <v>3</v>
      </c>
      <c r="BW7" s="110">
        <f>BL19</f>
        <v>5</v>
      </c>
      <c r="BX7" s="110">
        <v>1</v>
      </c>
      <c r="BY7" s="111"/>
      <c r="BZ7" s="111"/>
      <c r="CA7" s="111"/>
      <c r="CB7" s="99"/>
      <c r="CC7" s="99"/>
      <c r="CD7" s="107">
        <v>4</v>
      </c>
      <c r="CE7" s="108">
        <v>2</v>
      </c>
      <c r="CF7" s="108">
        <v>2</v>
      </c>
      <c r="CG7" s="108">
        <v>4</v>
      </c>
      <c r="CH7" s="108">
        <v>6</v>
      </c>
      <c r="CI7" s="108">
        <v>8</v>
      </c>
      <c r="CJ7" s="108">
        <v>4</v>
      </c>
      <c r="CK7" s="108">
        <v>7</v>
      </c>
      <c r="CL7" s="108">
        <v>4</v>
      </c>
      <c r="CM7" s="108">
        <v>1</v>
      </c>
      <c r="CN7" s="109">
        <v>2</v>
      </c>
      <c r="CO7" s="4"/>
      <c r="CP7" s="4"/>
      <c r="CQ7" s="4"/>
    </row>
    <row r="8" spans="1:110" ht="15.75" customHeight="1">
      <c r="A8" s="21" t="s">
        <v>55</v>
      </c>
      <c r="B8" s="63" t="s">
        <v>92</v>
      </c>
      <c r="C8" s="68">
        <v>192</v>
      </c>
      <c r="D8" s="24">
        <v>7</v>
      </c>
      <c r="E8" s="25">
        <v>18</v>
      </c>
      <c r="F8" s="26">
        <v>9</v>
      </c>
      <c r="G8" s="24">
        <v>5</v>
      </c>
      <c r="H8" s="33" t="s">
        <v>19</v>
      </c>
      <c r="I8" s="28" t="s">
        <v>35</v>
      </c>
      <c r="J8" s="23">
        <v>195</v>
      </c>
      <c r="K8" s="30">
        <v>3</v>
      </c>
      <c r="L8" s="31">
        <v>13</v>
      </c>
      <c r="M8" s="32">
        <v>11</v>
      </c>
      <c r="N8" s="30">
        <v>10</v>
      </c>
      <c r="O8" s="27" t="s">
        <v>20</v>
      </c>
      <c r="P8" s="65" t="s">
        <v>92</v>
      </c>
      <c r="Q8" s="29">
        <v>181</v>
      </c>
      <c r="R8" s="35">
        <v>10</v>
      </c>
      <c r="S8" s="36">
        <v>14</v>
      </c>
      <c r="T8" s="37">
        <v>8</v>
      </c>
      <c r="U8" s="35">
        <v>7</v>
      </c>
      <c r="V8" s="33" t="s">
        <v>19</v>
      </c>
      <c r="W8" s="38" t="s">
        <v>38</v>
      </c>
      <c r="X8" s="39">
        <v>149</v>
      </c>
      <c r="Y8" s="40">
        <v>10</v>
      </c>
      <c r="Z8" s="41">
        <v>13</v>
      </c>
      <c r="AA8" s="42">
        <v>8</v>
      </c>
      <c r="AB8" s="40">
        <v>4</v>
      </c>
      <c r="AC8" s="33" t="s">
        <v>19</v>
      </c>
      <c r="AD8" s="69" t="s">
        <v>37</v>
      </c>
      <c r="AE8" s="66">
        <v>159</v>
      </c>
      <c r="AF8" s="43">
        <v>6</v>
      </c>
      <c r="AG8" s="44">
        <v>13</v>
      </c>
      <c r="AH8" s="45">
        <v>6</v>
      </c>
      <c r="AI8" s="43">
        <v>8</v>
      </c>
      <c r="AJ8" s="27" t="s">
        <v>20</v>
      </c>
      <c r="AK8" s="38" t="s">
        <v>48</v>
      </c>
      <c r="AL8" s="29">
        <v>179</v>
      </c>
      <c r="AM8" s="47">
        <v>8</v>
      </c>
      <c r="AN8" s="48">
        <v>15</v>
      </c>
      <c r="AO8" s="49">
        <v>5</v>
      </c>
      <c r="AP8" s="47">
        <v>9</v>
      </c>
      <c r="AQ8" s="33" t="s">
        <v>19</v>
      </c>
      <c r="AR8" s="56" t="s">
        <v>51</v>
      </c>
      <c r="AS8" s="29">
        <v>198</v>
      </c>
      <c r="AT8" s="34">
        <v>6</v>
      </c>
      <c r="AU8" s="51">
        <v>21</v>
      </c>
      <c r="AV8" s="52">
        <v>9</v>
      </c>
      <c r="AW8" s="34">
        <v>4</v>
      </c>
      <c r="AX8" s="33" t="s">
        <v>19</v>
      </c>
      <c r="AY8" s="38" t="s">
        <v>48</v>
      </c>
      <c r="AZ8" s="23">
        <v>146</v>
      </c>
      <c r="BA8" s="53">
        <v>5</v>
      </c>
      <c r="BB8" s="54">
        <v>11</v>
      </c>
      <c r="BC8" s="55">
        <v>6</v>
      </c>
      <c r="BD8" s="53">
        <v>1</v>
      </c>
      <c r="BE8" s="27" t="s">
        <v>20</v>
      </c>
      <c r="BF8" s="63" t="s">
        <v>34</v>
      </c>
      <c r="BG8" s="66">
        <v>160</v>
      </c>
      <c r="BH8" s="57">
        <v>5</v>
      </c>
      <c r="BI8" s="58">
        <v>10</v>
      </c>
      <c r="BJ8" s="59">
        <v>8</v>
      </c>
      <c r="BK8" s="57">
        <v>11</v>
      </c>
      <c r="BL8" s="27" t="s">
        <v>20</v>
      </c>
      <c r="BM8" s="69" t="s">
        <v>41</v>
      </c>
      <c r="BN8" s="68">
        <v>216</v>
      </c>
      <c r="BO8" s="60">
        <v>10</v>
      </c>
      <c r="BP8" s="61">
        <v>15</v>
      </c>
      <c r="BQ8" s="62">
        <v>15</v>
      </c>
      <c r="BR8" s="60">
        <v>9</v>
      </c>
      <c r="BS8" s="33" t="s">
        <v>19</v>
      </c>
      <c r="BU8" s="99" t="s">
        <v>29</v>
      </c>
      <c r="BV8" s="110">
        <f>BE18</f>
        <v>3</v>
      </c>
      <c r="BW8" s="110">
        <f>BE19</f>
        <v>7</v>
      </c>
      <c r="BX8" s="110"/>
      <c r="BY8" s="111"/>
      <c r="BZ8" s="111"/>
      <c r="CA8" s="111"/>
      <c r="CB8" s="99"/>
      <c r="CC8" s="99"/>
      <c r="CD8" s="107">
        <v>5</v>
      </c>
      <c r="CE8" s="108">
        <v>4</v>
      </c>
      <c r="CF8" s="108">
        <v>2</v>
      </c>
      <c r="CG8" s="108">
        <v>6</v>
      </c>
      <c r="CH8" s="108">
        <v>8</v>
      </c>
      <c r="CI8" s="108">
        <v>8</v>
      </c>
      <c r="CJ8" s="108">
        <v>6</v>
      </c>
      <c r="CK8" s="108">
        <v>9</v>
      </c>
      <c r="CL8" s="108">
        <v>4</v>
      </c>
      <c r="CM8" s="108">
        <v>1</v>
      </c>
      <c r="CN8" s="109">
        <v>4</v>
      </c>
      <c r="CO8" s="4"/>
      <c r="CP8" s="4"/>
      <c r="CQ8" s="4"/>
    </row>
    <row r="9" spans="1:110" ht="15.75" customHeight="1">
      <c r="A9" s="21" t="s">
        <v>56</v>
      </c>
      <c r="B9" s="69" t="s">
        <v>93</v>
      </c>
      <c r="C9" s="66">
        <v>184</v>
      </c>
      <c r="D9" s="24">
        <v>9</v>
      </c>
      <c r="E9" s="25">
        <v>16</v>
      </c>
      <c r="F9" s="26">
        <v>4</v>
      </c>
      <c r="G9" s="24">
        <v>4</v>
      </c>
      <c r="H9" s="27" t="s">
        <v>20</v>
      </c>
      <c r="I9" s="65" t="s">
        <v>39</v>
      </c>
      <c r="J9" s="68">
        <v>199</v>
      </c>
      <c r="K9" s="30">
        <v>10</v>
      </c>
      <c r="L9" s="31">
        <v>17</v>
      </c>
      <c r="M9" s="32">
        <v>10</v>
      </c>
      <c r="N9" s="30">
        <v>7</v>
      </c>
      <c r="O9" s="33" t="s">
        <v>19</v>
      </c>
      <c r="P9" s="65" t="s">
        <v>44</v>
      </c>
      <c r="Q9" s="66">
        <v>100</v>
      </c>
      <c r="R9" s="35">
        <v>5</v>
      </c>
      <c r="S9" s="36">
        <v>13</v>
      </c>
      <c r="T9" s="37">
        <v>1</v>
      </c>
      <c r="U9" s="35">
        <v>2</v>
      </c>
      <c r="V9" s="27" t="s">
        <v>20</v>
      </c>
      <c r="W9" s="38" t="s">
        <v>53</v>
      </c>
      <c r="X9" s="23">
        <v>175</v>
      </c>
      <c r="Y9" s="40">
        <v>4</v>
      </c>
      <c r="Z9" s="41">
        <v>12</v>
      </c>
      <c r="AA9" s="42">
        <v>7</v>
      </c>
      <c r="AB9" s="40">
        <v>3</v>
      </c>
      <c r="AC9" s="27" t="s">
        <v>20</v>
      </c>
      <c r="AD9" s="70" t="s">
        <v>36</v>
      </c>
      <c r="AE9" s="23">
        <v>155</v>
      </c>
      <c r="AF9" s="43">
        <v>6</v>
      </c>
      <c r="AG9" s="44">
        <v>13</v>
      </c>
      <c r="AH9" s="45">
        <v>5</v>
      </c>
      <c r="AI9" s="43">
        <v>8</v>
      </c>
      <c r="AJ9" s="27" t="s">
        <v>20</v>
      </c>
      <c r="AK9" s="69" t="s">
        <v>37</v>
      </c>
      <c r="AL9" s="66">
        <v>195</v>
      </c>
      <c r="AM9" s="47">
        <v>2</v>
      </c>
      <c r="AN9" s="48">
        <v>15</v>
      </c>
      <c r="AO9" s="49">
        <v>10</v>
      </c>
      <c r="AP9" s="47">
        <v>8</v>
      </c>
      <c r="AQ9" s="27" t="s">
        <v>20</v>
      </c>
      <c r="AR9" s="50" t="s">
        <v>38</v>
      </c>
      <c r="AS9" s="68">
        <v>254</v>
      </c>
      <c r="AT9" s="34">
        <v>7</v>
      </c>
      <c r="AU9" s="51">
        <v>16</v>
      </c>
      <c r="AV9" s="52">
        <v>21</v>
      </c>
      <c r="AW9" s="34">
        <v>7</v>
      </c>
      <c r="AX9" s="33" t="s">
        <v>19</v>
      </c>
      <c r="AY9" s="50" t="s">
        <v>54</v>
      </c>
      <c r="AZ9" s="66">
        <v>200</v>
      </c>
      <c r="BA9" s="53">
        <v>7</v>
      </c>
      <c r="BB9" s="54">
        <v>14</v>
      </c>
      <c r="BC9" s="55">
        <v>11</v>
      </c>
      <c r="BD9" s="53">
        <v>6</v>
      </c>
      <c r="BE9" s="27" t="s">
        <v>20</v>
      </c>
      <c r="BF9" s="65" t="s">
        <v>39</v>
      </c>
      <c r="BG9" s="23">
        <v>180</v>
      </c>
      <c r="BH9" s="57">
        <v>5</v>
      </c>
      <c r="BI9" s="58">
        <v>16</v>
      </c>
      <c r="BJ9" s="59">
        <v>9</v>
      </c>
      <c r="BK9" s="57">
        <v>4</v>
      </c>
      <c r="BL9" s="27" t="s">
        <v>20</v>
      </c>
      <c r="BM9" s="69" t="s">
        <v>50</v>
      </c>
      <c r="BN9" s="68">
        <v>194</v>
      </c>
      <c r="BO9" s="60">
        <v>8</v>
      </c>
      <c r="BP9" s="61">
        <v>18</v>
      </c>
      <c r="BQ9" s="62">
        <v>9</v>
      </c>
      <c r="BR9" s="60">
        <v>17</v>
      </c>
      <c r="BS9" s="33" t="s">
        <v>19</v>
      </c>
      <c r="BU9" s="99" t="s">
        <v>23</v>
      </c>
      <c r="BV9" s="110">
        <f>O18</f>
        <v>3</v>
      </c>
      <c r="BW9" s="110">
        <f>O19</f>
        <v>7</v>
      </c>
      <c r="BX9" s="110"/>
      <c r="BY9" s="111"/>
      <c r="BZ9" s="111"/>
      <c r="CA9" s="111"/>
      <c r="CB9" s="99"/>
      <c r="CC9" s="99"/>
      <c r="CD9" s="107">
        <v>6</v>
      </c>
      <c r="CE9" s="108">
        <v>4</v>
      </c>
      <c r="CF9" s="108">
        <v>4</v>
      </c>
      <c r="CG9" s="108">
        <v>6</v>
      </c>
      <c r="CH9" s="108">
        <v>8</v>
      </c>
      <c r="CI9" s="108">
        <v>8</v>
      </c>
      <c r="CJ9" s="108">
        <v>6</v>
      </c>
      <c r="CK9" s="108">
        <v>11</v>
      </c>
      <c r="CL9" s="108">
        <v>4</v>
      </c>
      <c r="CM9" s="108">
        <v>1</v>
      </c>
      <c r="CN9" s="109">
        <v>6</v>
      </c>
      <c r="CO9" s="4"/>
      <c r="CP9" s="4"/>
      <c r="CQ9" s="4"/>
    </row>
    <row r="10" spans="1:110" ht="15.75" customHeight="1">
      <c r="A10" s="21" t="s">
        <v>57</v>
      </c>
      <c r="B10" s="56" t="s">
        <v>51</v>
      </c>
      <c r="C10" s="68">
        <v>207</v>
      </c>
      <c r="D10" s="24">
        <v>10</v>
      </c>
      <c r="E10" s="25">
        <v>19</v>
      </c>
      <c r="F10" s="26">
        <v>12</v>
      </c>
      <c r="G10" s="24">
        <v>6</v>
      </c>
      <c r="H10" s="33" t="s">
        <v>19</v>
      </c>
      <c r="I10" s="28" t="s">
        <v>50</v>
      </c>
      <c r="J10" s="66">
        <v>104</v>
      </c>
      <c r="K10" s="30">
        <v>6</v>
      </c>
      <c r="L10" s="31">
        <v>10</v>
      </c>
      <c r="M10" s="32">
        <v>1</v>
      </c>
      <c r="N10" s="30">
        <v>8</v>
      </c>
      <c r="O10" s="27" t="s">
        <v>20</v>
      </c>
      <c r="P10" s="38" t="s">
        <v>48</v>
      </c>
      <c r="Q10" s="23">
        <v>205</v>
      </c>
      <c r="R10" s="35">
        <v>5</v>
      </c>
      <c r="S10" s="36">
        <v>17</v>
      </c>
      <c r="T10" s="37">
        <v>10</v>
      </c>
      <c r="U10" s="35">
        <v>3</v>
      </c>
      <c r="V10" s="27" t="s">
        <v>20</v>
      </c>
      <c r="W10" s="38" t="s">
        <v>49</v>
      </c>
      <c r="X10" s="39">
        <v>206</v>
      </c>
      <c r="Y10" s="40">
        <v>3</v>
      </c>
      <c r="Z10" s="41">
        <v>15</v>
      </c>
      <c r="AA10" s="42">
        <v>14</v>
      </c>
      <c r="AB10" s="40">
        <v>3</v>
      </c>
      <c r="AC10" s="33" t="s">
        <v>19</v>
      </c>
      <c r="AD10" s="46" t="s">
        <v>46</v>
      </c>
      <c r="AE10" s="68">
        <v>159</v>
      </c>
      <c r="AF10" s="43">
        <v>10</v>
      </c>
      <c r="AG10" s="44">
        <v>17</v>
      </c>
      <c r="AH10" s="45">
        <v>3</v>
      </c>
      <c r="AI10" s="43">
        <v>5</v>
      </c>
      <c r="AJ10" s="33" t="s">
        <v>19</v>
      </c>
      <c r="AK10" s="64" t="s">
        <v>35</v>
      </c>
      <c r="AL10" s="23">
        <v>264</v>
      </c>
      <c r="AM10" s="47">
        <v>4</v>
      </c>
      <c r="AN10" s="48">
        <v>29</v>
      </c>
      <c r="AO10" s="49">
        <v>13</v>
      </c>
      <c r="AP10" s="47">
        <v>13</v>
      </c>
      <c r="AQ10" s="27" t="s">
        <v>20</v>
      </c>
      <c r="AR10" s="64" t="s">
        <v>40</v>
      </c>
      <c r="AS10" s="29">
        <v>265</v>
      </c>
      <c r="AT10" s="34">
        <v>2</v>
      </c>
      <c r="AU10" s="51">
        <v>20</v>
      </c>
      <c r="AV10" s="52">
        <v>20</v>
      </c>
      <c r="AW10" s="34">
        <v>7</v>
      </c>
      <c r="AX10" s="33" t="s">
        <v>19</v>
      </c>
      <c r="AY10" s="46" t="s">
        <v>41</v>
      </c>
      <c r="AZ10" s="66">
        <v>119</v>
      </c>
      <c r="BA10" s="53">
        <v>6</v>
      </c>
      <c r="BB10" s="54">
        <v>10</v>
      </c>
      <c r="BC10" s="55">
        <v>5</v>
      </c>
      <c r="BD10" s="53">
        <v>4</v>
      </c>
      <c r="BE10" s="27" t="s">
        <v>20</v>
      </c>
      <c r="BF10" s="70" t="s">
        <v>41</v>
      </c>
      <c r="BG10" s="29">
        <v>161</v>
      </c>
      <c r="BH10" s="57">
        <v>9</v>
      </c>
      <c r="BI10" s="58">
        <v>14</v>
      </c>
      <c r="BJ10" s="59">
        <v>6</v>
      </c>
      <c r="BK10" s="57">
        <v>10</v>
      </c>
      <c r="BL10" s="33" t="s">
        <v>19</v>
      </c>
      <c r="BM10" s="69" t="s">
        <v>53</v>
      </c>
      <c r="BN10" s="68">
        <v>242</v>
      </c>
      <c r="BO10" s="60">
        <v>9</v>
      </c>
      <c r="BP10" s="61">
        <v>17</v>
      </c>
      <c r="BQ10" s="62">
        <v>16</v>
      </c>
      <c r="BR10" s="60">
        <v>7</v>
      </c>
      <c r="BS10" s="33" t="s">
        <v>19</v>
      </c>
      <c r="BU10" s="99" t="s">
        <v>28</v>
      </c>
      <c r="BV10" s="110">
        <f>AX18</f>
        <v>6</v>
      </c>
      <c r="BW10" s="110">
        <f>AX19</f>
        <v>3</v>
      </c>
      <c r="BX10" s="110">
        <v>1</v>
      </c>
      <c r="BY10" s="111"/>
      <c r="BZ10" s="111"/>
      <c r="CA10" s="111"/>
      <c r="CB10" s="99"/>
      <c r="CC10" s="99"/>
      <c r="CD10" s="107">
        <v>7</v>
      </c>
      <c r="CE10" s="108">
        <v>6</v>
      </c>
      <c r="CF10" s="108">
        <v>4</v>
      </c>
      <c r="CG10" s="108">
        <v>6</v>
      </c>
      <c r="CH10" s="108">
        <v>10</v>
      </c>
      <c r="CI10" s="108">
        <v>10</v>
      </c>
      <c r="CJ10" s="108">
        <v>6</v>
      </c>
      <c r="CK10" s="108">
        <v>13</v>
      </c>
      <c r="CL10" s="108">
        <v>4</v>
      </c>
      <c r="CM10" s="108">
        <v>3</v>
      </c>
      <c r="CN10" s="109">
        <v>8</v>
      </c>
      <c r="CO10" s="4"/>
      <c r="CP10" s="4"/>
      <c r="CQ10" s="4"/>
    </row>
    <row r="11" spans="1:110" ht="15.75" customHeight="1">
      <c r="A11" s="21" t="s">
        <v>58</v>
      </c>
      <c r="B11" s="65" t="s">
        <v>39</v>
      </c>
      <c r="C11" s="23">
        <v>158</v>
      </c>
      <c r="D11" s="24">
        <v>2</v>
      </c>
      <c r="E11" s="25">
        <v>18</v>
      </c>
      <c r="F11" s="26">
        <v>6</v>
      </c>
      <c r="G11" s="24">
        <v>2</v>
      </c>
      <c r="H11" s="27" t="s">
        <v>20</v>
      </c>
      <c r="I11" s="28" t="s">
        <v>45</v>
      </c>
      <c r="J11" s="23">
        <v>243</v>
      </c>
      <c r="K11" s="30">
        <v>4</v>
      </c>
      <c r="L11" s="31">
        <v>21</v>
      </c>
      <c r="M11" s="32">
        <v>11</v>
      </c>
      <c r="N11" s="30">
        <v>8</v>
      </c>
      <c r="O11" s="27" t="s">
        <v>20</v>
      </c>
      <c r="P11" s="63" t="s">
        <v>34</v>
      </c>
      <c r="Q11" s="29">
        <v>162</v>
      </c>
      <c r="R11" s="35">
        <v>7</v>
      </c>
      <c r="S11" s="36">
        <v>9</v>
      </c>
      <c r="T11" s="37">
        <v>11</v>
      </c>
      <c r="U11" s="35">
        <v>10</v>
      </c>
      <c r="V11" s="33" t="s">
        <v>19</v>
      </c>
      <c r="W11" s="64" t="s">
        <v>40</v>
      </c>
      <c r="X11" s="39">
        <v>77</v>
      </c>
      <c r="Y11" s="40">
        <v>10</v>
      </c>
      <c r="Z11" s="41">
        <v>5</v>
      </c>
      <c r="AA11" s="42">
        <v>7</v>
      </c>
      <c r="AB11" s="40">
        <v>4</v>
      </c>
      <c r="AC11" s="33" t="s">
        <v>19</v>
      </c>
      <c r="AD11" s="22" t="s">
        <v>45</v>
      </c>
      <c r="AE11" s="23">
        <v>228</v>
      </c>
      <c r="AF11" s="43">
        <v>5</v>
      </c>
      <c r="AG11" s="44">
        <v>20</v>
      </c>
      <c r="AH11" s="45">
        <v>16</v>
      </c>
      <c r="AI11" s="43">
        <v>13</v>
      </c>
      <c r="AJ11" s="27" t="s">
        <v>20</v>
      </c>
      <c r="AK11" s="64" t="s">
        <v>43</v>
      </c>
      <c r="AL11" s="23">
        <v>75</v>
      </c>
      <c r="AM11" s="47">
        <v>1</v>
      </c>
      <c r="AN11" s="48">
        <v>8</v>
      </c>
      <c r="AO11" s="49">
        <v>1</v>
      </c>
      <c r="AP11" s="47">
        <v>0</v>
      </c>
      <c r="AQ11" s="27" t="s">
        <v>20</v>
      </c>
      <c r="AR11" s="50" t="s">
        <v>41</v>
      </c>
      <c r="AS11" s="23">
        <v>222</v>
      </c>
      <c r="AT11" s="34">
        <v>4</v>
      </c>
      <c r="AU11" s="51">
        <v>18</v>
      </c>
      <c r="AV11" s="52">
        <v>12</v>
      </c>
      <c r="AW11" s="34">
        <v>5</v>
      </c>
      <c r="AX11" s="27" t="s">
        <v>20</v>
      </c>
      <c r="AY11" s="46" t="s">
        <v>92</v>
      </c>
      <c r="AZ11" s="85">
        <v>156</v>
      </c>
      <c r="BA11" s="53">
        <v>7</v>
      </c>
      <c r="BB11" s="54">
        <v>11</v>
      </c>
      <c r="BC11" s="55">
        <v>7</v>
      </c>
      <c r="BD11" s="53">
        <v>7</v>
      </c>
      <c r="BE11" s="27" t="s">
        <v>20</v>
      </c>
      <c r="BF11" s="46" t="s">
        <v>46</v>
      </c>
      <c r="BG11" s="84">
        <v>159</v>
      </c>
      <c r="BH11" s="57">
        <v>10</v>
      </c>
      <c r="BI11" s="58">
        <v>9</v>
      </c>
      <c r="BJ11" s="59">
        <v>9</v>
      </c>
      <c r="BK11" s="57">
        <v>5</v>
      </c>
      <c r="BL11" s="33" t="s">
        <v>19</v>
      </c>
      <c r="BM11" s="22" t="s">
        <v>33</v>
      </c>
      <c r="BN11" s="29">
        <v>229</v>
      </c>
      <c r="BO11" s="60">
        <v>6</v>
      </c>
      <c r="BP11" s="61">
        <v>27</v>
      </c>
      <c r="BQ11" s="62">
        <v>10</v>
      </c>
      <c r="BR11" s="60">
        <v>6</v>
      </c>
      <c r="BS11" s="33" t="s">
        <v>19</v>
      </c>
      <c r="BU11" s="99" t="s">
        <v>26</v>
      </c>
      <c r="BV11" s="110">
        <f>AJ18</f>
        <v>6</v>
      </c>
      <c r="BW11" s="110">
        <f>AJ19</f>
        <v>4</v>
      </c>
      <c r="BX11" s="110"/>
      <c r="BY11" s="111"/>
      <c r="BZ11" s="111"/>
      <c r="CA11" s="111"/>
      <c r="CB11" s="99"/>
      <c r="CC11" s="99"/>
      <c r="CD11" s="107">
        <v>8</v>
      </c>
      <c r="CE11" s="108">
        <v>6</v>
      </c>
      <c r="CF11" s="108">
        <v>4</v>
      </c>
      <c r="CG11" s="108">
        <v>8</v>
      </c>
      <c r="CH11" s="108">
        <v>12</v>
      </c>
      <c r="CI11" s="108">
        <v>10</v>
      </c>
      <c r="CJ11" s="108">
        <v>6</v>
      </c>
      <c r="CK11" s="108">
        <v>13</v>
      </c>
      <c r="CL11" s="108">
        <v>4</v>
      </c>
      <c r="CM11" s="108">
        <v>5</v>
      </c>
      <c r="CN11" s="109">
        <v>10</v>
      </c>
      <c r="CO11" s="4"/>
      <c r="CP11" s="4"/>
      <c r="CQ11" s="4"/>
    </row>
    <row r="12" spans="1:110" ht="15.75" customHeight="1">
      <c r="A12" s="21" t="s">
        <v>59</v>
      </c>
      <c r="B12" s="63" t="s">
        <v>44</v>
      </c>
      <c r="C12" s="29">
        <v>160</v>
      </c>
      <c r="D12" s="24">
        <v>7</v>
      </c>
      <c r="E12" s="25">
        <v>13</v>
      </c>
      <c r="F12" s="26">
        <v>7</v>
      </c>
      <c r="G12" s="24">
        <v>1</v>
      </c>
      <c r="H12" s="33" t="s">
        <v>19</v>
      </c>
      <c r="I12" s="63" t="s">
        <v>34</v>
      </c>
      <c r="J12" s="23">
        <v>159</v>
      </c>
      <c r="K12" s="30">
        <v>2</v>
      </c>
      <c r="L12" s="31">
        <v>10</v>
      </c>
      <c r="M12" s="32">
        <v>10</v>
      </c>
      <c r="N12" s="30">
        <v>4</v>
      </c>
      <c r="O12" s="27" t="s">
        <v>20</v>
      </c>
      <c r="P12" s="65" t="s">
        <v>43</v>
      </c>
      <c r="Q12" s="29">
        <v>158</v>
      </c>
      <c r="R12" s="35">
        <v>10</v>
      </c>
      <c r="S12" s="36">
        <v>13</v>
      </c>
      <c r="T12" s="37">
        <v>9</v>
      </c>
      <c r="U12" s="35">
        <v>2</v>
      </c>
      <c r="V12" s="33" t="s">
        <v>19</v>
      </c>
      <c r="W12" s="65" t="s">
        <v>49</v>
      </c>
      <c r="X12" s="23">
        <v>155</v>
      </c>
      <c r="Y12" s="40">
        <v>6</v>
      </c>
      <c r="Z12" s="41">
        <v>17</v>
      </c>
      <c r="AA12" s="42">
        <v>7</v>
      </c>
      <c r="AB12" s="40">
        <v>4</v>
      </c>
      <c r="AC12" s="27" t="s">
        <v>20</v>
      </c>
      <c r="AD12" s="34" t="s">
        <v>54</v>
      </c>
      <c r="AE12" s="29">
        <v>228</v>
      </c>
      <c r="AF12" s="43">
        <v>4</v>
      </c>
      <c r="AG12" s="44">
        <v>21</v>
      </c>
      <c r="AH12" s="45">
        <v>14</v>
      </c>
      <c r="AI12" s="43">
        <v>1</v>
      </c>
      <c r="AJ12" s="33" t="s">
        <v>19</v>
      </c>
      <c r="AK12" s="22" t="s">
        <v>33</v>
      </c>
      <c r="AL12" s="29">
        <v>226</v>
      </c>
      <c r="AM12" s="47">
        <v>6</v>
      </c>
      <c r="AN12" s="48">
        <v>20</v>
      </c>
      <c r="AO12" s="49">
        <v>11</v>
      </c>
      <c r="AP12" s="47">
        <v>6</v>
      </c>
      <c r="AQ12" s="33" t="s">
        <v>19</v>
      </c>
      <c r="AR12" s="65" t="s">
        <v>39</v>
      </c>
      <c r="AS12" s="23">
        <v>163</v>
      </c>
      <c r="AT12" s="34">
        <v>6</v>
      </c>
      <c r="AU12" s="51">
        <v>14</v>
      </c>
      <c r="AV12" s="52">
        <v>7</v>
      </c>
      <c r="AW12" s="34">
        <v>7</v>
      </c>
      <c r="AX12" s="27" t="s">
        <v>20</v>
      </c>
      <c r="AY12" s="56" t="s">
        <v>51</v>
      </c>
      <c r="AZ12" s="23">
        <v>228</v>
      </c>
      <c r="BA12" s="53">
        <v>4</v>
      </c>
      <c r="BB12" s="54">
        <v>12</v>
      </c>
      <c r="BC12" s="55">
        <v>16</v>
      </c>
      <c r="BD12" s="53">
        <v>4</v>
      </c>
      <c r="BE12" s="27" t="s">
        <v>20</v>
      </c>
      <c r="BF12" s="69" t="s">
        <v>37</v>
      </c>
      <c r="BG12" s="29">
        <v>169</v>
      </c>
      <c r="BH12" s="57">
        <v>10</v>
      </c>
      <c r="BI12" s="58">
        <v>14</v>
      </c>
      <c r="BJ12" s="59">
        <v>6</v>
      </c>
      <c r="BK12" s="57">
        <v>4</v>
      </c>
      <c r="BL12" s="33" t="s">
        <v>19</v>
      </c>
      <c r="BM12" s="56" t="s">
        <v>51</v>
      </c>
      <c r="BN12" s="29">
        <v>249</v>
      </c>
      <c r="BO12" s="60">
        <v>5</v>
      </c>
      <c r="BP12" s="61">
        <v>20</v>
      </c>
      <c r="BQ12" s="62">
        <v>18</v>
      </c>
      <c r="BR12" s="60">
        <v>7</v>
      </c>
      <c r="BS12" s="33" t="s">
        <v>19</v>
      </c>
      <c r="BU12" s="99" t="s">
        <v>25</v>
      </c>
      <c r="BV12" s="110">
        <f>AC18</f>
        <v>6</v>
      </c>
      <c r="BW12" s="110">
        <f>AC19</f>
        <v>4</v>
      </c>
      <c r="BX12" s="110"/>
      <c r="BY12" s="111"/>
      <c r="BZ12" s="111"/>
      <c r="CA12" s="111"/>
      <c r="CB12" s="99"/>
      <c r="CC12" s="99"/>
      <c r="CD12" s="107">
        <v>9</v>
      </c>
      <c r="CE12" s="108">
        <v>8</v>
      </c>
      <c r="CF12" s="108">
        <v>4</v>
      </c>
      <c r="CG12" s="108">
        <v>10</v>
      </c>
      <c r="CH12" s="108">
        <v>12</v>
      </c>
      <c r="CI12" s="108">
        <v>12</v>
      </c>
      <c r="CJ12" s="108">
        <v>8</v>
      </c>
      <c r="CK12" s="108">
        <v>13</v>
      </c>
      <c r="CL12" s="108">
        <v>4</v>
      </c>
      <c r="CM12" s="108">
        <v>7</v>
      </c>
      <c r="CN12" s="109">
        <v>12</v>
      </c>
      <c r="CO12" s="4"/>
      <c r="CP12" s="4"/>
      <c r="CQ12" s="4"/>
    </row>
    <row r="13" spans="1:110" ht="15.75" customHeight="1">
      <c r="A13" s="21" t="s">
        <v>60</v>
      </c>
      <c r="B13" s="64" t="s">
        <v>40</v>
      </c>
      <c r="C13" s="29">
        <v>159</v>
      </c>
      <c r="D13" s="24">
        <v>7</v>
      </c>
      <c r="E13" s="25">
        <v>12</v>
      </c>
      <c r="F13" s="26">
        <v>10</v>
      </c>
      <c r="G13" s="24">
        <v>2</v>
      </c>
      <c r="H13" s="33" t="s">
        <v>19</v>
      </c>
      <c r="I13" s="28" t="s">
        <v>38</v>
      </c>
      <c r="J13" s="29">
        <v>229</v>
      </c>
      <c r="K13" s="30">
        <v>5</v>
      </c>
      <c r="L13" s="31">
        <v>17</v>
      </c>
      <c r="M13" s="32">
        <v>17</v>
      </c>
      <c r="N13" s="30">
        <v>11</v>
      </c>
      <c r="O13" s="33" t="s">
        <v>19</v>
      </c>
      <c r="P13" s="65" t="s">
        <v>35</v>
      </c>
      <c r="Q13" s="29">
        <v>167</v>
      </c>
      <c r="R13" s="35">
        <v>9</v>
      </c>
      <c r="S13" s="36">
        <v>13</v>
      </c>
      <c r="T13" s="37">
        <v>5</v>
      </c>
      <c r="U13" s="35">
        <v>7</v>
      </c>
      <c r="V13" s="33" t="s">
        <v>19</v>
      </c>
      <c r="W13" s="46" t="s">
        <v>46</v>
      </c>
      <c r="X13" s="66">
        <v>203</v>
      </c>
      <c r="Y13" s="40">
        <v>3</v>
      </c>
      <c r="Z13" s="41">
        <v>16</v>
      </c>
      <c r="AA13" s="42">
        <v>13</v>
      </c>
      <c r="AB13" s="40">
        <v>5</v>
      </c>
      <c r="AC13" s="27" t="s">
        <v>20</v>
      </c>
      <c r="AD13" s="22" t="s">
        <v>53</v>
      </c>
      <c r="AE13" s="23">
        <v>225</v>
      </c>
      <c r="AF13" s="43">
        <v>3</v>
      </c>
      <c r="AG13" s="44">
        <v>17</v>
      </c>
      <c r="AH13" s="45">
        <v>14</v>
      </c>
      <c r="AI13" s="43">
        <v>8</v>
      </c>
      <c r="AJ13" s="27" t="s">
        <v>20</v>
      </c>
      <c r="AK13" s="64" t="s">
        <v>50</v>
      </c>
      <c r="AL13" s="23">
        <v>155</v>
      </c>
      <c r="AM13" s="47">
        <v>2</v>
      </c>
      <c r="AN13" s="48">
        <v>10</v>
      </c>
      <c r="AO13" s="49">
        <v>9</v>
      </c>
      <c r="AP13" s="47">
        <v>7</v>
      </c>
      <c r="AQ13" s="27" t="s">
        <v>20</v>
      </c>
      <c r="AR13" s="69" t="s">
        <v>37</v>
      </c>
      <c r="AS13" s="66">
        <v>202</v>
      </c>
      <c r="AT13" s="34">
        <v>5</v>
      </c>
      <c r="AU13" s="51">
        <v>13</v>
      </c>
      <c r="AV13" s="52">
        <v>13</v>
      </c>
      <c r="AW13" s="34">
        <v>5</v>
      </c>
      <c r="AX13" s="27" t="s">
        <v>20</v>
      </c>
      <c r="AY13" s="46" t="s">
        <v>43</v>
      </c>
      <c r="AZ13" s="68">
        <v>209</v>
      </c>
      <c r="BA13" s="53">
        <v>6</v>
      </c>
      <c r="BB13" s="54">
        <v>18</v>
      </c>
      <c r="BC13" s="55">
        <v>12</v>
      </c>
      <c r="BD13" s="53">
        <v>8</v>
      </c>
      <c r="BE13" s="33" t="s">
        <v>19</v>
      </c>
      <c r="BF13" s="64" t="s">
        <v>40</v>
      </c>
      <c r="BG13" s="73"/>
      <c r="BH13" s="57"/>
      <c r="BI13" s="58"/>
      <c r="BJ13" s="59"/>
      <c r="BK13" s="57"/>
      <c r="BL13" s="73"/>
      <c r="BM13" s="69" t="s">
        <v>92</v>
      </c>
      <c r="BN13" s="23">
        <v>165</v>
      </c>
      <c r="BO13" s="60">
        <v>3</v>
      </c>
      <c r="BP13" s="61">
        <v>18</v>
      </c>
      <c r="BQ13" s="62">
        <v>8</v>
      </c>
      <c r="BR13" s="60">
        <v>12</v>
      </c>
      <c r="BS13" s="27" t="s">
        <v>20</v>
      </c>
      <c r="BU13" s="99" t="s">
        <v>31</v>
      </c>
      <c r="BV13" s="110">
        <f>BS18</f>
        <v>7</v>
      </c>
      <c r="BW13" s="110">
        <f>BS19</f>
        <v>4</v>
      </c>
      <c r="BX13" s="110"/>
      <c r="BY13" s="111"/>
      <c r="BZ13" s="111"/>
      <c r="CA13" s="111"/>
      <c r="CB13" s="99"/>
      <c r="CC13" s="99"/>
      <c r="CD13" s="107">
        <v>10</v>
      </c>
      <c r="CE13" s="108">
        <v>10</v>
      </c>
      <c r="CF13" s="108">
        <v>6</v>
      </c>
      <c r="CG13" s="108">
        <v>12</v>
      </c>
      <c r="CH13" s="108">
        <v>12</v>
      </c>
      <c r="CI13" s="108">
        <v>12</v>
      </c>
      <c r="CJ13" s="108">
        <v>8</v>
      </c>
      <c r="CK13" s="108">
        <v>13</v>
      </c>
      <c r="CL13" s="108">
        <v>6</v>
      </c>
      <c r="CM13" s="108"/>
      <c r="CN13" s="109">
        <v>12</v>
      </c>
      <c r="CO13" s="1"/>
      <c r="CP13" s="4"/>
      <c r="CQ13" s="4"/>
    </row>
    <row r="14" spans="1:110" ht="15.75" customHeight="1">
      <c r="A14" s="21" t="s">
        <v>61</v>
      </c>
      <c r="B14" s="63" t="s">
        <v>38</v>
      </c>
      <c r="C14" s="72"/>
      <c r="D14" s="24"/>
      <c r="E14" s="25"/>
      <c r="F14" s="26"/>
      <c r="G14" s="24"/>
      <c r="H14" s="72"/>
      <c r="I14" s="38" t="s">
        <v>48</v>
      </c>
      <c r="J14" s="73"/>
      <c r="K14" s="30"/>
      <c r="L14" s="31"/>
      <c r="M14" s="32"/>
      <c r="N14" s="30"/>
      <c r="O14" s="73"/>
      <c r="P14" s="22" t="s">
        <v>33</v>
      </c>
      <c r="Q14" s="72"/>
      <c r="R14" s="35"/>
      <c r="S14" s="36"/>
      <c r="T14" s="37"/>
      <c r="U14" s="35"/>
      <c r="V14" s="73"/>
      <c r="W14" s="38" t="s">
        <v>49</v>
      </c>
      <c r="X14" s="74"/>
      <c r="Y14" s="40"/>
      <c r="Z14" s="41"/>
      <c r="AA14" s="42"/>
      <c r="AB14" s="40"/>
      <c r="AC14" s="73"/>
      <c r="AD14" s="22" t="s">
        <v>49</v>
      </c>
      <c r="AE14" s="72"/>
      <c r="AF14" s="43"/>
      <c r="AG14" s="44"/>
      <c r="AH14" s="45"/>
      <c r="AI14" s="43"/>
      <c r="AJ14" s="72"/>
      <c r="AK14" s="64" t="s">
        <v>92</v>
      </c>
      <c r="AL14" s="72"/>
      <c r="AM14" s="47"/>
      <c r="AN14" s="48"/>
      <c r="AO14" s="49"/>
      <c r="AP14" s="47"/>
      <c r="AQ14" s="73"/>
      <c r="AR14" s="50" t="s">
        <v>53</v>
      </c>
      <c r="AS14" s="73"/>
      <c r="AT14" s="34"/>
      <c r="AU14" s="51"/>
      <c r="AV14" s="52"/>
      <c r="AW14" s="34"/>
      <c r="AX14" s="73"/>
      <c r="AY14" s="63" t="s">
        <v>34</v>
      </c>
      <c r="AZ14" s="72"/>
      <c r="BA14" s="53"/>
      <c r="BB14" s="54"/>
      <c r="BC14" s="55"/>
      <c r="BD14" s="53"/>
      <c r="BE14" s="72"/>
      <c r="BF14" s="38" t="s">
        <v>48</v>
      </c>
      <c r="BG14" s="73"/>
      <c r="BH14" s="57"/>
      <c r="BI14" s="58"/>
      <c r="BJ14" s="59"/>
      <c r="BK14" s="57"/>
      <c r="BL14" s="73"/>
      <c r="BM14" s="69" t="s">
        <v>35</v>
      </c>
      <c r="BN14" s="68">
        <v>235</v>
      </c>
      <c r="BO14" s="60">
        <v>7</v>
      </c>
      <c r="BP14" s="61">
        <v>12</v>
      </c>
      <c r="BQ14" s="62">
        <v>17</v>
      </c>
      <c r="BR14" s="60">
        <v>9</v>
      </c>
      <c r="BS14" s="33" t="s">
        <v>19</v>
      </c>
      <c r="BU14" s="110"/>
      <c r="BV14" s="110"/>
      <c r="BW14" s="110"/>
      <c r="BX14" s="110"/>
      <c r="BY14" s="111"/>
      <c r="BZ14" s="111"/>
      <c r="CA14" s="111"/>
      <c r="CB14" s="111"/>
      <c r="CC14" s="111"/>
      <c r="CD14" s="107">
        <v>11</v>
      </c>
      <c r="CE14" s="108"/>
      <c r="CF14" s="108"/>
      <c r="CG14" s="108"/>
      <c r="CH14" s="108"/>
      <c r="CI14" s="108"/>
      <c r="CJ14" s="108"/>
      <c r="CK14" s="108"/>
      <c r="CL14" s="108"/>
      <c r="CM14" s="108"/>
      <c r="CN14" s="109">
        <v>14</v>
      </c>
      <c r="CO14" s="13"/>
      <c r="CP14" s="13"/>
      <c r="CQ14" s="13"/>
    </row>
    <row r="15" spans="1:110" ht="15.75" customHeight="1">
      <c r="A15" s="21" t="s">
        <v>63</v>
      </c>
      <c r="B15" s="46" t="s">
        <v>46</v>
      </c>
      <c r="C15" s="72"/>
      <c r="D15" s="24"/>
      <c r="E15" s="25"/>
      <c r="F15" s="26"/>
      <c r="G15" s="24"/>
      <c r="H15" s="73"/>
      <c r="I15" s="34" t="s">
        <v>54</v>
      </c>
      <c r="J15" s="73"/>
      <c r="K15" s="30"/>
      <c r="L15" s="31"/>
      <c r="M15" s="32"/>
      <c r="N15" s="30"/>
      <c r="O15" s="72"/>
      <c r="P15" s="65" t="s">
        <v>45</v>
      </c>
      <c r="Q15" s="72"/>
      <c r="R15" s="35"/>
      <c r="S15" s="36"/>
      <c r="T15" s="37"/>
      <c r="U15" s="35"/>
      <c r="V15" s="73"/>
      <c r="W15" s="38" t="s">
        <v>92</v>
      </c>
      <c r="X15" s="75"/>
      <c r="Y15" s="40"/>
      <c r="Z15" s="41"/>
      <c r="AA15" s="42"/>
      <c r="AB15" s="40"/>
      <c r="AC15" s="73"/>
      <c r="AD15" s="64" t="s">
        <v>40</v>
      </c>
      <c r="AE15" s="72"/>
      <c r="AF15" s="43"/>
      <c r="AG15" s="44"/>
      <c r="AH15" s="45"/>
      <c r="AI15" s="43"/>
      <c r="AJ15" s="72"/>
      <c r="AK15" s="50" t="s">
        <v>54</v>
      </c>
      <c r="AL15" s="72"/>
      <c r="AM15" s="47"/>
      <c r="AN15" s="48"/>
      <c r="AO15" s="49"/>
      <c r="AP15" s="47"/>
      <c r="AQ15" s="73"/>
      <c r="AR15" s="50" t="s">
        <v>44</v>
      </c>
      <c r="AS15" s="73"/>
      <c r="AT15" s="34"/>
      <c r="AU15" s="51"/>
      <c r="AV15" s="52"/>
      <c r="AW15" s="34"/>
      <c r="AX15" s="72"/>
      <c r="AY15" s="46" t="s">
        <v>94</v>
      </c>
      <c r="AZ15" s="73"/>
      <c r="BA15" s="53"/>
      <c r="BB15" s="54"/>
      <c r="BC15" s="55"/>
      <c r="BD15" s="53"/>
      <c r="BE15" s="72"/>
      <c r="BF15" s="70" t="s">
        <v>49</v>
      </c>
      <c r="BG15" s="73"/>
      <c r="BH15" s="57"/>
      <c r="BI15" s="58"/>
      <c r="BJ15" s="59"/>
      <c r="BK15" s="57"/>
      <c r="BL15" s="72"/>
      <c r="BM15" s="65" t="s">
        <v>39</v>
      </c>
      <c r="BN15" s="73"/>
      <c r="BO15" s="60"/>
      <c r="BP15" s="61"/>
      <c r="BQ15" s="62"/>
      <c r="BR15" s="60"/>
      <c r="BS15" s="73"/>
      <c r="BU15" s="110"/>
      <c r="BV15" s="110"/>
      <c r="BW15" s="110"/>
      <c r="BX15" s="110"/>
      <c r="BY15" s="111"/>
      <c r="BZ15" s="111"/>
      <c r="CA15" s="111"/>
      <c r="CB15" s="111"/>
      <c r="CC15" s="111"/>
      <c r="CD15" s="107">
        <v>12</v>
      </c>
      <c r="CE15" s="108"/>
      <c r="CF15" s="108"/>
      <c r="CG15" s="108"/>
      <c r="CH15" s="108"/>
      <c r="CI15" s="108"/>
      <c r="CJ15" s="108"/>
      <c r="CK15" s="108"/>
      <c r="CL15" s="108"/>
      <c r="CM15" s="108"/>
      <c r="CN15" s="109"/>
    </row>
    <row r="16" spans="1:110" ht="15.75" customHeight="1">
      <c r="A16" s="21" t="s">
        <v>64</v>
      </c>
      <c r="B16" s="63" t="s">
        <v>45</v>
      </c>
      <c r="C16" s="73"/>
      <c r="D16" s="24"/>
      <c r="E16" s="25"/>
      <c r="F16" s="26"/>
      <c r="G16" s="24"/>
      <c r="H16" s="72"/>
      <c r="I16" s="70" t="s">
        <v>36</v>
      </c>
      <c r="J16" s="73"/>
      <c r="K16" s="30"/>
      <c r="L16" s="31"/>
      <c r="M16" s="32"/>
      <c r="N16" s="30"/>
      <c r="O16" s="72"/>
      <c r="P16" s="70" t="s">
        <v>36</v>
      </c>
      <c r="Q16" s="72"/>
      <c r="R16" s="35"/>
      <c r="S16" s="36"/>
      <c r="T16" s="37"/>
      <c r="U16" s="35"/>
      <c r="V16" s="72"/>
      <c r="W16" s="34" t="s">
        <v>54</v>
      </c>
      <c r="X16" s="75"/>
      <c r="Y16" s="40"/>
      <c r="Z16" s="41"/>
      <c r="AA16" s="42"/>
      <c r="AB16" s="40"/>
      <c r="AC16" s="72"/>
      <c r="AD16" s="22" t="s">
        <v>38</v>
      </c>
      <c r="AE16" s="72"/>
      <c r="AF16" s="43"/>
      <c r="AG16" s="44"/>
      <c r="AH16" s="45"/>
      <c r="AI16" s="43"/>
      <c r="AJ16" s="73"/>
      <c r="AK16" s="64" t="s">
        <v>41</v>
      </c>
      <c r="AL16" s="73"/>
      <c r="AM16" s="47"/>
      <c r="AN16" s="48"/>
      <c r="AO16" s="49"/>
      <c r="AP16" s="47"/>
      <c r="AQ16" s="72"/>
      <c r="AR16" s="50" t="s">
        <v>43</v>
      </c>
      <c r="AS16" s="72"/>
      <c r="AT16" s="34"/>
      <c r="AU16" s="51"/>
      <c r="AV16" s="52"/>
      <c r="AW16" s="34"/>
      <c r="AX16" s="73"/>
      <c r="AY16" s="22" t="s">
        <v>33</v>
      </c>
      <c r="AZ16" s="73"/>
      <c r="BA16" s="53"/>
      <c r="BB16" s="54"/>
      <c r="BC16" s="55"/>
      <c r="BD16" s="53"/>
      <c r="BE16" s="73"/>
      <c r="BF16" s="70" t="s">
        <v>44</v>
      </c>
      <c r="BG16" s="72"/>
      <c r="BH16" s="57"/>
      <c r="BI16" s="58"/>
      <c r="BJ16" s="59"/>
      <c r="BK16" s="57"/>
      <c r="BL16" s="72"/>
      <c r="BM16" s="63" t="s">
        <v>34</v>
      </c>
      <c r="BN16" s="73"/>
      <c r="BO16" s="60"/>
      <c r="BP16" s="61"/>
      <c r="BQ16" s="62"/>
      <c r="BR16" s="60"/>
      <c r="BS16" s="73"/>
      <c r="BU16" s="99" t="s">
        <v>18</v>
      </c>
      <c r="BV16" s="99" t="s">
        <v>65</v>
      </c>
      <c r="BW16" s="99" t="s">
        <v>66</v>
      </c>
      <c r="BX16" s="99" t="s">
        <v>67</v>
      </c>
      <c r="BY16" s="99" t="s">
        <v>18</v>
      </c>
      <c r="BZ16" s="99" t="s">
        <v>17</v>
      </c>
      <c r="CA16" s="99" t="s">
        <v>15</v>
      </c>
      <c r="CB16" s="111"/>
      <c r="CC16" s="111"/>
      <c r="CD16" s="107">
        <v>13</v>
      </c>
      <c r="CE16" s="108"/>
      <c r="CF16" s="108"/>
      <c r="CG16" s="108"/>
      <c r="CH16" s="108"/>
      <c r="CI16" s="108"/>
      <c r="CJ16" s="108"/>
      <c r="CK16" s="108"/>
      <c r="CL16" s="108"/>
      <c r="CM16" s="108"/>
      <c r="CN16" s="109"/>
    </row>
    <row r="17" spans="1:110" ht="15.75" customHeight="1">
      <c r="A17" s="21" t="s">
        <v>68</v>
      </c>
      <c r="B17" s="63" t="s">
        <v>49</v>
      </c>
      <c r="C17" s="73"/>
      <c r="D17" s="24"/>
      <c r="E17" s="25"/>
      <c r="F17" s="26"/>
      <c r="G17" s="24"/>
      <c r="H17" s="73"/>
      <c r="I17" s="28" t="s">
        <v>41</v>
      </c>
      <c r="J17" s="72"/>
      <c r="K17" s="30"/>
      <c r="L17" s="31"/>
      <c r="M17" s="32"/>
      <c r="N17" s="30"/>
      <c r="O17" s="73"/>
      <c r="P17" s="65" t="s">
        <v>50</v>
      </c>
      <c r="Q17" s="72"/>
      <c r="R17" s="35"/>
      <c r="S17" s="36"/>
      <c r="T17" s="37"/>
      <c r="U17" s="35"/>
      <c r="V17" s="72"/>
      <c r="W17" s="69" t="s">
        <v>37</v>
      </c>
      <c r="X17" s="75"/>
      <c r="Y17" s="40"/>
      <c r="Z17" s="41"/>
      <c r="AA17" s="42"/>
      <c r="AB17" s="40"/>
      <c r="AC17" s="73"/>
      <c r="AD17" s="56" t="s">
        <v>51</v>
      </c>
      <c r="AE17" s="72"/>
      <c r="AF17" s="43"/>
      <c r="AG17" s="44"/>
      <c r="AH17" s="45"/>
      <c r="AI17" s="43"/>
      <c r="AJ17" s="72"/>
      <c r="AK17" s="70" t="s">
        <v>36</v>
      </c>
      <c r="AL17" s="72"/>
      <c r="AM17" s="47"/>
      <c r="AN17" s="48"/>
      <c r="AO17" s="49"/>
      <c r="AP17" s="47"/>
      <c r="AQ17" s="72"/>
      <c r="AR17" s="46" t="s">
        <v>46</v>
      </c>
      <c r="AS17" s="73"/>
      <c r="AT17" s="34"/>
      <c r="AU17" s="51"/>
      <c r="AV17" s="52"/>
      <c r="AW17" s="34"/>
      <c r="AX17" s="73"/>
      <c r="AY17" s="46" t="s">
        <v>35</v>
      </c>
      <c r="AZ17" s="73"/>
      <c r="BA17" s="76"/>
      <c r="BB17" s="54"/>
      <c r="BC17" s="55"/>
      <c r="BD17" s="53"/>
      <c r="BE17" s="72"/>
      <c r="BF17" s="70" t="s">
        <v>53</v>
      </c>
      <c r="BG17" s="72"/>
      <c r="BH17" s="57"/>
      <c r="BI17" s="58"/>
      <c r="BJ17" s="59"/>
      <c r="BK17" s="57"/>
      <c r="BL17" s="73"/>
      <c r="BM17" s="69" t="s">
        <v>43</v>
      </c>
      <c r="BN17" s="72"/>
      <c r="BO17" s="60"/>
      <c r="BP17" s="61"/>
      <c r="BQ17" s="62"/>
      <c r="BR17" s="60"/>
      <c r="BS17" s="73"/>
      <c r="BU17" s="106" t="s">
        <v>22</v>
      </c>
      <c r="BV17" s="105">
        <f>(C18)</f>
        <v>1815</v>
      </c>
      <c r="BW17" s="106" t="s">
        <v>22</v>
      </c>
      <c r="BX17" s="105">
        <f>(D18)</f>
        <v>62</v>
      </c>
      <c r="BY17" s="106" t="s">
        <v>22</v>
      </c>
      <c r="BZ17" s="105">
        <f>(E18)</f>
        <v>167</v>
      </c>
      <c r="CA17" s="105">
        <f>(F18)</f>
        <v>80</v>
      </c>
      <c r="CB17" s="111"/>
      <c r="CC17" s="111"/>
      <c r="CD17" s="112">
        <v>14</v>
      </c>
      <c r="CE17" s="113"/>
      <c r="CF17" s="113"/>
      <c r="CG17" s="113"/>
      <c r="CH17" s="113"/>
      <c r="CI17" s="113"/>
      <c r="CJ17" s="113"/>
      <c r="CK17" s="113"/>
      <c r="CL17" s="113"/>
      <c r="CM17" s="113"/>
      <c r="CN17" s="114"/>
    </row>
    <row r="18" spans="1:110" ht="15.75" customHeight="1">
      <c r="A18" s="77" t="s">
        <v>69</v>
      </c>
      <c r="B18" s="19" t="s">
        <v>97</v>
      </c>
      <c r="C18" s="19">
        <f t="shared" ref="C18:G18" si="2">SUM(C4:C17)</f>
        <v>1815</v>
      </c>
      <c r="D18" s="19">
        <f t="shared" si="2"/>
        <v>62</v>
      </c>
      <c r="E18" s="19">
        <f t="shared" si="2"/>
        <v>167</v>
      </c>
      <c r="F18" s="19">
        <f t="shared" si="2"/>
        <v>80</v>
      </c>
      <c r="G18" s="19">
        <f t="shared" si="2"/>
        <v>47</v>
      </c>
      <c r="H18" s="33">
        <f t="array" ref="H18">SUM(LEN(H4:H17)-LEN(SUBSTITUTE(H4:H17,"Win","")))/LEN("Win")</f>
        <v>5</v>
      </c>
      <c r="I18" s="19" t="s">
        <v>97</v>
      </c>
      <c r="J18" s="19">
        <f t="shared" ref="J18:N18" si="3">SUM(J4:J17)</f>
        <v>1860</v>
      </c>
      <c r="K18" s="19">
        <f t="shared" si="3"/>
        <v>45</v>
      </c>
      <c r="L18" s="19">
        <f t="shared" si="3"/>
        <v>156</v>
      </c>
      <c r="M18" s="19">
        <f t="shared" si="3"/>
        <v>97</v>
      </c>
      <c r="N18" s="19">
        <f t="shared" si="3"/>
        <v>78</v>
      </c>
      <c r="O18" s="33">
        <f t="array" ref="O18">SUM(LEN(O4:O17)-LEN(SUBSTITUTE(O4:O17,"Win","")))/LEN("Win")</f>
        <v>3</v>
      </c>
      <c r="P18" s="19" t="s">
        <v>97</v>
      </c>
      <c r="Q18" s="19">
        <f t="shared" ref="Q18:U18" si="4">SUM(Q4:Q17)</f>
        <v>1714</v>
      </c>
      <c r="R18" s="19">
        <f t="shared" si="4"/>
        <v>75</v>
      </c>
      <c r="S18" s="19">
        <f t="shared" si="4"/>
        <v>157</v>
      </c>
      <c r="T18" s="19">
        <f t="shared" si="4"/>
        <v>69</v>
      </c>
      <c r="U18" s="19">
        <f t="shared" si="4"/>
        <v>59</v>
      </c>
      <c r="V18" s="33">
        <f t="array" ref="V18">SUM(LEN(V4:V17)-LEN(SUBSTITUTE(V4:V17,"Win","")))/LEN("Win")</f>
        <v>6</v>
      </c>
      <c r="W18" s="19" t="s">
        <v>97</v>
      </c>
      <c r="X18" s="19">
        <f t="shared" ref="X18:AB18" si="5">SUM(X4:X17)</f>
        <v>1860</v>
      </c>
      <c r="Y18" s="78">
        <f t="shared" si="5"/>
        <v>64</v>
      </c>
      <c r="Z18" s="19">
        <f t="shared" si="5"/>
        <v>149</v>
      </c>
      <c r="AA18" s="19">
        <f t="shared" si="5"/>
        <v>110</v>
      </c>
      <c r="AB18" s="19">
        <f t="shared" si="5"/>
        <v>44</v>
      </c>
      <c r="AC18" s="33">
        <f t="array" ref="AC18">SUM(LEN(AC4:AC17)-LEN(SUBSTITUTE(AC4:AC17,"Win","")))/LEN("Win")</f>
        <v>6</v>
      </c>
      <c r="AD18" s="19" t="s">
        <v>97</v>
      </c>
      <c r="AE18" s="19">
        <f t="shared" ref="AE18:AI18" si="6">SUM(AE4:AE17)</f>
        <v>1844</v>
      </c>
      <c r="AF18" s="19">
        <f t="shared" si="6"/>
        <v>69</v>
      </c>
      <c r="AG18" s="19">
        <f t="shared" si="6"/>
        <v>160</v>
      </c>
      <c r="AH18" s="19">
        <f t="shared" si="6"/>
        <v>100</v>
      </c>
      <c r="AI18" s="19">
        <f t="shared" si="6"/>
        <v>71</v>
      </c>
      <c r="AJ18" s="33">
        <f t="array" ref="AJ18">SUM(LEN(AJ4:AJ17)-LEN(SUBSTITUTE(AJ4:AJ17,"Win","")))/LEN("Win")</f>
        <v>6</v>
      </c>
      <c r="AK18" s="19" t="s">
        <v>97</v>
      </c>
      <c r="AL18" s="19">
        <f t="shared" ref="AL18:AP18" si="7">SUM(AL4:AL17)</f>
        <v>1801</v>
      </c>
      <c r="AM18" s="19">
        <f t="shared" si="7"/>
        <v>45</v>
      </c>
      <c r="AN18" s="19">
        <f t="shared" si="7"/>
        <v>161</v>
      </c>
      <c r="AO18" s="19">
        <f t="shared" si="7"/>
        <v>80</v>
      </c>
      <c r="AP18" s="19">
        <f t="shared" si="7"/>
        <v>58</v>
      </c>
      <c r="AQ18" s="33">
        <f t="array" ref="AQ18">SUM(LEN(AQ4:AQ17)-LEN(SUBSTITUTE(AQ4:AQ17,"Win","")))/LEN("Win")</f>
        <v>4</v>
      </c>
      <c r="AR18" s="19" t="s">
        <v>97</v>
      </c>
      <c r="AS18" s="19">
        <f t="shared" ref="AS18:AW18" si="8">SUM(AS4:AS17)</f>
        <v>1902</v>
      </c>
      <c r="AT18" s="19">
        <f t="shared" si="8"/>
        <v>49</v>
      </c>
      <c r="AU18" s="19">
        <f t="shared" si="8"/>
        <v>147</v>
      </c>
      <c r="AV18" s="19">
        <f t="shared" si="8"/>
        <v>121</v>
      </c>
      <c r="AW18" s="19">
        <f t="shared" si="8"/>
        <v>68</v>
      </c>
      <c r="AX18" s="33">
        <f t="array" ref="AX18">SUM(LEN(AX4:AX17)-LEN(SUBSTITUTE(AX4:AX17,"Win","")))/LEN("Win")</f>
        <v>6</v>
      </c>
      <c r="AY18" s="19" t="s">
        <v>97</v>
      </c>
      <c r="AZ18" s="19">
        <f t="shared" ref="AZ18:BD18" si="9">SUM(AZ4:AZ17)</f>
        <v>1705</v>
      </c>
      <c r="BA18" s="19">
        <f t="shared" si="9"/>
        <v>55</v>
      </c>
      <c r="BB18" s="19">
        <f t="shared" si="9"/>
        <v>137</v>
      </c>
      <c r="BC18" s="19">
        <f t="shared" si="9"/>
        <v>83</v>
      </c>
      <c r="BD18" s="19">
        <f t="shared" si="9"/>
        <v>56</v>
      </c>
      <c r="BE18" s="33">
        <f t="array" ref="BE18">SUM(LEN(BE4:BE17)-LEN(SUBSTITUTE(BE4:BE17,"Win","")))/LEN("Win")</f>
        <v>3</v>
      </c>
      <c r="BF18" s="19" t="s">
        <v>97</v>
      </c>
      <c r="BG18" s="19">
        <f t="shared" ref="BG18:BK18" si="10">SUM(BG4:BG17)</f>
        <v>1416</v>
      </c>
      <c r="BH18" s="19">
        <f t="shared" si="10"/>
        <v>58</v>
      </c>
      <c r="BI18" s="19">
        <f t="shared" si="10"/>
        <v>120</v>
      </c>
      <c r="BJ18" s="19">
        <f t="shared" si="10"/>
        <v>62</v>
      </c>
      <c r="BK18" s="19">
        <f t="shared" si="10"/>
        <v>54</v>
      </c>
      <c r="BL18" s="33">
        <f t="array" ref="BL18">SUM(LEN(BL4:BL17)-LEN(SUBSTITUTE(BL4:BL17,"Win","")))/LEN("Win")</f>
        <v>3</v>
      </c>
      <c r="BM18" s="19" t="s">
        <v>97</v>
      </c>
      <c r="BN18" s="19">
        <f t="shared" ref="BN18:BR18" si="11">SUM(BN4:BN17)</f>
        <v>2332</v>
      </c>
      <c r="BO18" s="19">
        <f t="shared" si="11"/>
        <v>71</v>
      </c>
      <c r="BP18" s="19">
        <f t="shared" si="11"/>
        <v>192</v>
      </c>
      <c r="BQ18" s="19">
        <f t="shared" si="11"/>
        <v>134</v>
      </c>
      <c r="BR18" s="19">
        <f t="shared" si="11"/>
        <v>87</v>
      </c>
      <c r="BS18" s="33">
        <f t="array" ref="BS18">SUM(LEN(BS4:BS17)-LEN(SUBSTITUTE(BS4:BS17,"Win","")))/LEN("Win")</f>
        <v>7</v>
      </c>
      <c r="BT18" s="11"/>
      <c r="BU18" s="106" t="s">
        <v>23</v>
      </c>
      <c r="BV18" s="115">
        <f>(J18)</f>
        <v>1860</v>
      </c>
      <c r="BW18" s="106" t="s">
        <v>23</v>
      </c>
      <c r="BX18" s="115">
        <f>(K18)</f>
        <v>45</v>
      </c>
      <c r="BY18" s="106" t="s">
        <v>23</v>
      </c>
      <c r="BZ18" s="115">
        <f>(L18)</f>
        <v>156</v>
      </c>
      <c r="CA18" s="115">
        <f>(M18)</f>
        <v>97</v>
      </c>
      <c r="CB18" s="98"/>
      <c r="CC18" s="98"/>
      <c r="CD18" s="98"/>
      <c r="CE18" s="98"/>
      <c r="CF18" s="98"/>
      <c r="CG18" s="98"/>
      <c r="CH18" s="98"/>
      <c r="CI18" s="103"/>
      <c r="CJ18" s="103"/>
      <c r="CK18" s="103"/>
      <c r="CL18" s="103"/>
      <c r="CM18" s="103"/>
      <c r="CN18" s="103"/>
      <c r="CO18" s="12"/>
      <c r="CP18" s="12"/>
      <c r="CQ18" s="12"/>
      <c r="CR18" s="12"/>
      <c r="CS18" s="12"/>
      <c r="CT18" s="12"/>
      <c r="CU18" s="12"/>
      <c r="CV18" s="12"/>
      <c r="CW18" s="12"/>
      <c r="CX18" s="12"/>
      <c r="CY18" s="12"/>
      <c r="CZ18" s="12"/>
      <c r="DA18" s="12"/>
      <c r="DB18" s="12"/>
      <c r="DC18" s="12"/>
      <c r="DD18" s="12"/>
      <c r="DE18" s="12"/>
      <c r="DF18" s="12"/>
    </row>
    <row r="19" spans="1:110" ht="15.75" customHeight="1">
      <c r="A19" s="79" t="s">
        <v>70</v>
      </c>
      <c r="B19" s="19" t="s">
        <v>98</v>
      </c>
      <c r="C19" s="80">
        <f t="shared" ref="C19:D19" si="12">SUM(C4:C17)/(14)</f>
        <v>129.64285714285714</v>
      </c>
      <c r="D19" s="80">
        <f t="shared" si="12"/>
        <v>4.4285714285714288</v>
      </c>
      <c r="E19" s="80">
        <f t="shared" ref="E19:G19" si="13">(E18)/(14)</f>
        <v>11.928571428571429</v>
      </c>
      <c r="F19" s="80">
        <f t="shared" si="13"/>
        <v>5.7142857142857144</v>
      </c>
      <c r="G19" s="80">
        <f t="shared" si="13"/>
        <v>3.3571428571428572</v>
      </c>
      <c r="H19" s="27">
        <f t="array" ref="H19">SUM(LEN(H4:H17)-LEN(SUBSTITUTE(H4:H17,"Loss","")))/LEN("Loss")</f>
        <v>5</v>
      </c>
      <c r="I19" s="19" t="s">
        <v>98</v>
      </c>
      <c r="J19" s="80">
        <f t="shared" ref="J19:N19" si="14">SUM(J4:J17)/(14)</f>
        <v>132.85714285714286</v>
      </c>
      <c r="K19" s="80">
        <f t="shared" si="14"/>
        <v>3.2142857142857144</v>
      </c>
      <c r="L19" s="80">
        <f t="shared" si="14"/>
        <v>11.142857142857142</v>
      </c>
      <c r="M19" s="80">
        <f t="shared" si="14"/>
        <v>6.9285714285714288</v>
      </c>
      <c r="N19" s="80">
        <f t="shared" si="14"/>
        <v>5.5714285714285712</v>
      </c>
      <c r="O19" s="27">
        <f t="array" ref="O19">SUM(LEN(O4:O17)-LEN(SUBSTITUTE(O4:O17,"Loss","")))/LEN("Loss")</f>
        <v>7</v>
      </c>
      <c r="P19" s="19" t="s">
        <v>98</v>
      </c>
      <c r="Q19" s="80">
        <f t="shared" ref="Q19:U19" si="15">SUM(Q4:Q17)/(14)</f>
        <v>122.42857142857143</v>
      </c>
      <c r="R19" s="80">
        <f t="shared" si="15"/>
        <v>5.3571428571428568</v>
      </c>
      <c r="S19" s="80">
        <f t="shared" si="15"/>
        <v>11.214285714285714</v>
      </c>
      <c r="T19" s="80">
        <f t="shared" si="15"/>
        <v>4.9285714285714288</v>
      </c>
      <c r="U19" s="80">
        <f t="shared" si="15"/>
        <v>4.2142857142857144</v>
      </c>
      <c r="V19" s="27">
        <f t="array" ref="V19">SUM(LEN(V4:V17)-LEN(SUBSTITUTE(V4:V17,"Loss","")))/LEN("Loss")</f>
        <v>4</v>
      </c>
      <c r="W19" s="19" t="s">
        <v>98</v>
      </c>
      <c r="X19" s="80">
        <f>SUM(X4:X17)/(14)</f>
        <v>132.85714285714286</v>
      </c>
      <c r="Y19" s="80">
        <f>SUM(Y4:Y17)/(14)</f>
        <v>4.5714285714285712</v>
      </c>
      <c r="Z19" s="80">
        <f>SUM(Z4:Z17)/(14)</f>
        <v>10.642857142857142</v>
      </c>
      <c r="AA19" s="80">
        <f>SUM(AA4:AA17)/(14)</f>
        <v>7.8571428571428568</v>
      </c>
      <c r="AB19" s="80">
        <f>SUM(AB4:AB17)/(14)</f>
        <v>3.1428571428571428</v>
      </c>
      <c r="AC19" s="27">
        <f t="array" ref="AC19">SUM(LEN(AC4:AC17)-LEN(SUBSTITUTE(AC4:AC17,"Loss","")))/LEN("Loss")</f>
        <v>4</v>
      </c>
      <c r="AD19" s="19" t="s">
        <v>98</v>
      </c>
      <c r="AE19" s="80">
        <f t="shared" ref="AE19:AI19" si="16">SUM(AE4:AE17)/(14)</f>
        <v>131.71428571428572</v>
      </c>
      <c r="AF19" s="80">
        <f t="shared" si="16"/>
        <v>4.9285714285714288</v>
      </c>
      <c r="AG19" s="80">
        <f t="shared" si="16"/>
        <v>11.428571428571429</v>
      </c>
      <c r="AH19" s="80">
        <f t="shared" si="16"/>
        <v>7.1428571428571432</v>
      </c>
      <c r="AI19" s="80">
        <f t="shared" si="16"/>
        <v>5.0714285714285712</v>
      </c>
      <c r="AJ19" s="27">
        <f t="array" ref="AJ19">SUM(LEN(AJ4:AJ17)-LEN(SUBSTITUTE(AJ4:AJ17,"Loss","")))/LEN("Loss")</f>
        <v>4</v>
      </c>
      <c r="AK19" s="19" t="s">
        <v>98</v>
      </c>
      <c r="AL19" s="80">
        <f>SUM(AL4:AL17)/(14)</f>
        <v>128.64285714285714</v>
      </c>
      <c r="AM19" s="80">
        <f>SUM(AM4:AM17)/(14)</f>
        <v>3.2142857142857144</v>
      </c>
      <c r="AN19" s="80">
        <f t="shared" ref="AN19:AP19" si="17">SUM(AN4:AN17)/(14)</f>
        <v>11.5</v>
      </c>
      <c r="AO19" s="80">
        <f t="shared" si="17"/>
        <v>5.7142857142857144</v>
      </c>
      <c r="AP19" s="80">
        <f t="shared" si="17"/>
        <v>4.1428571428571432</v>
      </c>
      <c r="AQ19" s="27">
        <f t="array" ref="AQ19">SUM(LEN(AQ4:AQ17)-LEN(SUBSTITUTE(AQ4:AQ17,"Loss","")))/LEN("Loss")</f>
        <v>6</v>
      </c>
      <c r="AR19" s="19" t="s">
        <v>98</v>
      </c>
      <c r="AS19" s="80">
        <f>SUM(AS4:AS17)/(13)</f>
        <v>146.30769230769232</v>
      </c>
      <c r="AT19" s="80">
        <f>SUM(AT4:AT17)/(13)</f>
        <v>3.7692307692307692</v>
      </c>
      <c r="AU19" s="80">
        <f t="shared" ref="AU19:AW19" si="18">SUM(AU4:AU17)/(13)</f>
        <v>11.307692307692308</v>
      </c>
      <c r="AV19" s="80">
        <f t="shared" si="18"/>
        <v>9.3076923076923084</v>
      </c>
      <c r="AW19" s="80">
        <f t="shared" si="18"/>
        <v>5.2307692307692308</v>
      </c>
      <c r="AX19" s="27">
        <f t="array" ref="AX19">SUM(LEN(AX4:AX17)-LEN(SUBSTITUTE(AX4:AX17,"Loss","")))/LEN("Loss")</f>
        <v>3</v>
      </c>
      <c r="AY19" s="19" t="s">
        <v>98</v>
      </c>
      <c r="AZ19" s="80">
        <f t="shared" ref="AZ19:BD19" si="19">SUM(AZ4:AZ17)/(14)</f>
        <v>121.78571428571429</v>
      </c>
      <c r="BA19" s="80">
        <f t="shared" si="19"/>
        <v>3.9285714285714284</v>
      </c>
      <c r="BB19" s="80">
        <f t="shared" si="19"/>
        <v>9.7857142857142865</v>
      </c>
      <c r="BC19" s="80">
        <f t="shared" si="19"/>
        <v>5.9285714285714288</v>
      </c>
      <c r="BD19" s="80">
        <f t="shared" si="19"/>
        <v>4</v>
      </c>
      <c r="BE19" s="27">
        <f t="array" ref="BE19">SUM(LEN(BE4:BE17)-LEN(SUBSTITUTE(BE4:BE17,"Loss","")))/LEN("Loss")</f>
        <v>7</v>
      </c>
      <c r="BF19" s="19" t="s">
        <v>98</v>
      </c>
      <c r="BG19" s="80">
        <f>SUM(BG4:BG17)/(13)</f>
        <v>108.92307692307692</v>
      </c>
      <c r="BH19" s="80">
        <f t="shared" ref="BH19:BK19" si="20">SUM(BH4:BH17)/(13)</f>
        <v>4.4615384615384617</v>
      </c>
      <c r="BI19" s="80">
        <f t="shared" si="20"/>
        <v>9.2307692307692299</v>
      </c>
      <c r="BJ19" s="80">
        <f t="shared" si="20"/>
        <v>4.7692307692307692</v>
      </c>
      <c r="BK19" s="80">
        <f t="shared" si="20"/>
        <v>4.1538461538461542</v>
      </c>
      <c r="BL19" s="27">
        <f t="array" ref="BL19">SUM(LEN(BL4:BL17)-LEN(SUBSTITUTE(BL4:BL17,"Loss","")))/LEN("Loss")</f>
        <v>5</v>
      </c>
      <c r="BM19" s="19" t="s">
        <v>98</v>
      </c>
      <c r="BN19" s="80">
        <f>SUM(BN4:BN17)/(14)</f>
        <v>166.57142857142858</v>
      </c>
      <c r="BO19" s="80">
        <f>SUM(BO4:BO17)/(14)</f>
        <v>5.0714285714285712</v>
      </c>
      <c r="BP19" s="80">
        <f>SUM(BP4:BP17)/(14)</f>
        <v>13.714285714285714</v>
      </c>
      <c r="BQ19" s="80">
        <f>SUM(BQ4:BQ17)/(14)</f>
        <v>9.5714285714285712</v>
      </c>
      <c r="BR19" s="80">
        <f>SUM(BR4:BR17)/(14)</f>
        <v>6.2142857142857144</v>
      </c>
      <c r="BS19" s="27">
        <f t="array" ref="BS19">SUM(LEN(BS4:BS17)-LEN(SUBSTITUTE(BS4:BS17,"Loss","")))/LEN("Loss")</f>
        <v>4</v>
      </c>
      <c r="BT19" s="11"/>
      <c r="BU19" s="99" t="s">
        <v>24</v>
      </c>
      <c r="BV19" s="105">
        <f>(Q18)</f>
        <v>1714</v>
      </c>
      <c r="BW19" s="99" t="s">
        <v>24</v>
      </c>
      <c r="BX19" s="115">
        <f>(R18)</f>
        <v>75</v>
      </c>
      <c r="BY19" s="99" t="s">
        <v>24</v>
      </c>
      <c r="BZ19" s="115">
        <f>(S18)</f>
        <v>157</v>
      </c>
      <c r="CA19" s="115">
        <f>(T18)</f>
        <v>69</v>
      </c>
      <c r="CB19" s="98"/>
      <c r="CC19" s="98"/>
      <c r="CD19" s="116"/>
      <c r="CE19" s="116"/>
      <c r="CF19" s="98"/>
      <c r="CG19" s="98"/>
      <c r="CH19" s="98"/>
      <c r="CI19" s="103"/>
      <c r="CJ19" s="103"/>
      <c r="CK19" s="103"/>
      <c r="CL19" s="103"/>
      <c r="CM19" s="103"/>
      <c r="CN19" s="103"/>
      <c r="CO19" s="12"/>
      <c r="CP19" s="12"/>
      <c r="CQ19" s="12"/>
      <c r="CR19" s="12"/>
      <c r="CS19" s="12"/>
      <c r="CT19" s="12"/>
      <c r="CU19" s="12"/>
      <c r="CV19" s="12"/>
      <c r="CW19" s="12"/>
      <c r="CX19" s="12"/>
      <c r="CY19" s="12"/>
      <c r="CZ19" s="12"/>
      <c r="DA19" s="12"/>
      <c r="DB19" s="12"/>
      <c r="DC19" s="12"/>
      <c r="DD19" s="12"/>
      <c r="DE19" s="12"/>
      <c r="DF19" s="12"/>
    </row>
    <row r="20" spans="1:110" ht="15.75" customHeight="1">
      <c r="A20" s="174" t="s">
        <v>71</v>
      </c>
      <c r="B20" s="176"/>
      <c r="C20" s="80">
        <f>SUM(C18+J18+Q18+X18+AE18+AL18+AS18+AZ18+BG18+BN18)/(69)</f>
        <v>264.47826086956519</v>
      </c>
      <c r="D20" s="81" t="s">
        <v>72</v>
      </c>
      <c r="E20" s="81"/>
      <c r="F20" s="81"/>
      <c r="G20" s="81"/>
      <c r="H20" s="81"/>
      <c r="I20" s="81"/>
      <c r="J20" s="81"/>
      <c r="K20" s="81"/>
      <c r="L20" s="81"/>
      <c r="M20" s="81"/>
      <c r="N20" s="81"/>
      <c r="O20" s="81"/>
      <c r="P20" s="81"/>
      <c r="Q20" s="81"/>
      <c r="R20" s="81"/>
      <c r="S20" s="81"/>
      <c r="T20" s="81"/>
      <c r="U20" s="81"/>
      <c r="V20" s="81"/>
      <c r="W20" s="81"/>
      <c r="X20" s="81"/>
      <c r="Y20" s="81"/>
      <c r="Z20" s="81"/>
      <c r="AA20" s="81"/>
      <c r="AB20" s="81"/>
      <c r="AC20" s="81"/>
      <c r="AD20" s="81"/>
      <c r="AE20" s="81"/>
      <c r="AF20" s="81"/>
      <c r="AG20" s="81"/>
      <c r="AH20" s="81"/>
      <c r="AI20" s="81"/>
      <c r="AJ20" s="81"/>
      <c r="AK20" s="81"/>
      <c r="AL20" s="81"/>
      <c r="AM20" s="81"/>
      <c r="AN20" s="81"/>
      <c r="AO20" s="81"/>
      <c r="AP20" s="81"/>
      <c r="AQ20" s="81"/>
      <c r="AR20" s="81"/>
      <c r="AS20" s="81"/>
      <c r="AT20" s="81"/>
      <c r="AU20" s="81"/>
      <c r="AV20" s="81"/>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14"/>
      <c r="BU20" s="99" t="s">
        <v>25</v>
      </c>
      <c r="BV20" s="115">
        <f>(X18)</f>
        <v>1860</v>
      </c>
      <c r="BW20" s="99" t="s">
        <v>25</v>
      </c>
      <c r="BX20" s="115">
        <f>(Y18)</f>
        <v>64</v>
      </c>
      <c r="BY20" s="99" t="s">
        <v>25</v>
      </c>
      <c r="BZ20" s="115">
        <f>(Z18)</f>
        <v>149</v>
      </c>
      <c r="CA20" s="115">
        <f>(AA18)</f>
        <v>110</v>
      </c>
      <c r="CB20" s="117"/>
      <c r="CC20" s="117"/>
      <c r="CD20" s="116"/>
      <c r="CE20" s="116"/>
      <c r="CF20" s="117"/>
      <c r="CG20" s="117"/>
      <c r="CH20" s="117"/>
      <c r="CI20" s="118"/>
      <c r="CJ20" s="118"/>
      <c r="CK20" s="118"/>
      <c r="CL20" s="118"/>
      <c r="CM20" s="118"/>
      <c r="CN20" s="118"/>
      <c r="CO20" s="15"/>
      <c r="CP20" s="15"/>
      <c r="CQ20" s="15"/>
      <c r="CR20" s="15"/>
      <c r="CS20" s="15"/>
      <c r="CT20" s="15"/>
      <c r="CU20" s="15"/>
      <c r="CV20" s="15"/>
      <c r="CW20" s="15"/>
      <c r="CX20" s="15"/>
      <c r="CY20" s="15"/>
      <c r="CZ20" s="15"/>
      <c r="DA20" s="15"/>
      <c r="DB20" s="15"/>
      <c r="DC20" s="15"/>
      <c r="DD20" s="15"/>
      <c r="DE20" s="15"/>
      <c r="DF20" s="15"/>
    </row>
    <row r="21" spans="1:110" ht="15.75" customHeight="1">
      <c r="A21" s="174" t="s">
        <v>73</v>
      </c>
      <c r="B21" s="176"/>
      <c r="C21" s="80">
        <f>SUM(D18+K18+R18+Y18+AF18+AM18+AT18+BA18+BH18+BO18)/(69)</f>
        <v>8.5942028985507246</v>
      </c>
      <c r="D21" s="81"/>
      <c r="E21" s="81"/>
      <c r="F21" s="81"/>
      <c r="G21" s="81"/>
      <c r="H21" s="81"/>
      <c r="I21" s="81"/>
      <c r="J21" s="81"/>
      <c r="K21" s="81"/>
      <c r="L21" s="81"/>
      <c r="M21" s="81"/>
      <c r="N21" s="81"/>
      <c r="O21" s="81"/>
      <c r="P21" s="81"/>
      <c r="Q21" s="81"/>
      <c r="R21" s="81"/>
      <c r="S21" s="81"/>
      <c r="T21" s="81"/>
      <c r="U21" s="81"/>
      <c r="V21" s="81"/>
      <c r="W21" s="81"/>
      <c r="X21" s="81"/>
      <c r="Y21" s="81"/>
      <c r="Z21" s="81"/>
      <c r="AA21" s="81"/>
      <c r="AB21" s="81"/>
      <c r="AC21" s="81"/>
      <c r="AD21" s="81"/>
      <c r="AE21" s="81"/>
      <c r="AF21" s="81"/>
      <c r="AG21" s="81"/>
      <c r="AH21" s="81"/>
      <c r="AI21" s="81"/>
      <c r="AJ21" s="81"/>
      <c r="AK21" s="81"/>
      <c r="AL21" s="81"/>
      <c r="AM21" s="81"/>
      <c r="AN21" s="81"/>
      <c r="AO21" s="81"/>
      <c r="AP21" s="81"/>
      <c r="AQ21" s="81"/>
      <c r="AR21" s="81"/>
      <c r="AS21" s="81"/>
      <c r="AT21" s="81"/>
      <c r="AU21" s="81"/>
      <c r="AV21" s="81"/>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14"/>
      <c r="BU21" s="99" t="s">
        <v>26</v>
      </c>
      <c r="BV21" s="115">
        <f>(AE18)</f>
        <v>1844</v>
      </c>
      <c r="BW21" s="99" t="s">
        <v>26</v>
      </c>
      <c r="BX21" s="115">
        <f>(AF18)</f>
        <v>69</v>
      </c>
      <c r="BY21" s="99" t="s">
        <v>26</v>
      </c>
      <c r="BZ21" s="115">
        <f>(AG18)</f>
        <v>160</v>
      </c>
      <c r="CA21" s="115">
        <f>(AH18)</f>
        <v>100</v>
      </c>
      <c r="CB21" s="117"/>
      <c r="CC21" s="117"/>
      <c r="CD21" s="117"/>
      <c r="CE21" s="117"/>
      <c r="CF21" s="117"/>
      <c r="CG21" s="117"/>
      <c r="CH21" s="117"/>
      <c r="CI21" s="118"/>
      <c r="CJ21" s="118"/>
      <c r="CK21" s="118"/>
      <c r="CL21" s="118"/>
      <c r="CM21" s="118"/>
      <c r="CN21" s="118"/>
      <c r="CO21" s="15"/>
      <c r="CP21" s="15"/>
      <c r="CQ21" s="15"/>
      <c r="CR21" s="15"/>
      <c r="CS21" s="15"/>
      <c r="CT21" s="15"/>
      <c r="CU21" s="15"/>
      <c r="CV21" s="15"/>
      <c r="CW21" s="15"/>
      <c r="CX21" s="15"/>
      <c r="CY21" s="15"/>
      <c r="CZ21" s="15"/>
      <c r="DA21" s="15"/>
      <c r="DB21" s="15"/>
      <c r="DC21" s="15"/>
      <c r="DD21" s="15"/>
      <c r="DE21" s="15"/>
      <c r="DF21" s="15"/>
    </row>
    <row r="22" spans="1:110" ht="15.75" customHeight="1">
      <c r="A22" s="174" t="s">
        <v>74</v>
      </c>
      <c r="B22" s="176"/>
      <c r="C22" s="80">
        <f>SUM(E18+L18+S18+Z18+AG18+AN18+AU18+BB18+BI18+BP18)/(69)</f>
        <v>22.405797101449274</v>
      </c>
      <c r="D22" s="81"/>
      <c r="E22" s="81"/>
      <c r="F22" s="81"/>
      <c r="G22" s="81"/>
      <c r="H22" s="81"/>
      <c r="I22" s="81"/>
      <c r="J22" s="81"/>
      <c r="K22" s="81"/>
      <c r="L22" s="81"/>
      <c r="M22" s="81"/>
      <c r="N22" s="81"/>
      <c r="O22" s="81"/>
      <c r="P22" s="81"/>
      <c r="Q22" s="81"/>
      <c r="R22" s="81"/>
      <c r="S22" s="81"/>
      <c r="T22" s="81"/>
      <c r="U22" s="81"/>
      <c r="V22" s="81"/>
      <c r="W22" s="81"/>
      <c r="X22" s="81"/>
      <c r="Y22" s="81"/>
      <c r="Z22" s="81"/>
      <c r="AA22" s="81"/>
      <c r="AB22" s="81"/>
      <c r="AC22" s="81"/>
      <c r="AD22" s="81"/>
      <c r="AE22" s="81"/>
      <c r="AF22" s="81"/>
      <c r="AG22" s="81"/>
      <c r="AH22" s="81"/>
      <c r="AI22" s="81"/>
      <c r="AJ22" s="81"/>
      <c r="AK22" s="81"/>
      <c r="AL22" s="81"/>
      <c r="AM22" s="81"/>
      <c r="AN22" s="81"/>
      <c r="AO22" s="81"/>
      <c r="AP22" s="81"/>
      <c r="AQ22" s="81"/>
      <c r="AR22" s="81"/>
      <c r="AS22" s="81"/>
      <c r="AT22" s="81"/>
      <c r="AU22" s="81"/>
      <c r="AV22" s="81"/>
      <c r="AW22" s="81"/>
      <c r="AX22" s="81"/>
      <c r="AY22" s="81"/>
      <c r="AZ22" s="81"/>
      <c r="BA22" s="81"/>
      <c r="BB22" s="81"/>
      <c r="BC22" s="81"/>
      <c r="BD22" s="81"/>
      <c r="BE22" s="81"/>
      <c r="BF22" s="81"/>
      <c r="BG22" s="81"/>
      <c r="BH22" s="81"/>
      <c r="BI22" s="81"/>
      <c r="BJ22" s="81"/>
      <c r="BK22" s="81"/>
      <c r="BL22" s="81"/>
      <c r="BM22" s="81"/>
      <c r="BN22" s="81"/>
      <c r="BO22" s="81"/>
      <c r="BP22" s="81"/>
      <c r="BQ22" s="81"/>
      <c r="BR22" s="81"/>
      <c r="BS22" s="81"/>
      <c r="BT22" s="14"/>
      <c r="BU22" s="99" t="s">
        <v>27</v>
      </c>
      <c r="BV22" s="115">
        <f>(AL18)</f>
        <v>1801</v>
      </c>
      <c r="BW22" s="99" t="s">
        <v>27</v>
      </c>
      <c r="BX22" s="115">
        <f>(AM18)</f>
        <v>45</v>
      </c>
      <c r="BY22" s="99" t="s">
        <v>27</v>
      </c>
      <c r="BZ22" s="115">
        <f>(AN18)</f>
        <v>161</v>
      </c>
      <c r="CA22" s="115">
        <f>(AO18)</f>
        <v>80</v>
      </c>
      <c r="CB22" s="117"/>
      <c r="CC22" s="117"/>
      <c r="CD22" s="117"/>
      <c r="CE22" s="117"/>
      <c r="CF22" s="117"/>
      <c r="CG22" s="117"/>
      <c r="CH22" s="117"/>
      <c r="CI22" s="118"/>
      <c r="CJ22" s="118"/>
      <c r="CK22" s="118"/>
      <c r="CL22" s="118"/>
      <c r="CM22" s="118"/>
      <c r="CN22" s="118"/>
      <c r="CO22" s="15"/>
      <c r="CP22" s="15"/>
      <c r="CQ22" s="15"/>
      <c r="CR22" s="15"/>
      <c r="CS22" s="15"/>
      <c r="CT22" s="15"/>
      <c r="CU22" s="15"/>
      <c r="CV22" s="15"/>
      <c r="CW22" s="15"/>
      <c r="CX22" s="15"/>
      <c r="CY22" s="15"/>
      <c r="CZ22" s="15"/>
      <c r="DA22" s="15"/>
      <c r="DB22" s="15"/>
      <c r="DC22" s="15"/>
      <c r="DD22" s="15"/>
      <c r="DE22" s="15"/>
      <c r="DF22" s="15"/>
    </row>
    <row r="23" spans="1:110" ht="15.75" customHeight="1">
      <c r="A23" s="174" t="s">
        <v>75</v>
      </c>
      <c r="B23" s="176"/>
      <c r="C23" s="80">
        <f>SUM(F18+M18+T18+AA18+AH18+AO18+AV18+BC18+BJ18+BQ18)/(69)</f>
        <v>13.565217391304348</v>
      </c>
      <c r="D23" s="81"/>
      <c r="E23" s="81"/>
      <c r="F23" s="81"/>
      <c r="G23" s="81"/>
      <c r="H23" s="81"/>
      <c r="I23" s="81"/>
      <c r="J23" s="81"/>
      <c r="K23" s="81"/>
      <c r="L23" s="81"/>
      <c r="M23" s="81"/>
      <c r="N23" s="81"/>
      <c r="O23" s="81"/>
      <c r="P23" s="81"/>
      <c r="Q23" s="81"/>
      <c r="R23" s="81"/>
      <c r="S23" s="81"/>
      <c r="T23" s="81"/>
      <c r="U23" s="81"/>
      <c r="V23" s="81"/>
      <c r="W23" s="81"/>
      <c r="X23" s="81"/>
      <c r="Y23" s="81"/>
      <c r="Z23" s="81"/>
      <c r="AA23" s="81"/>
      <c r="AB23" s="81"/>
      <c r="AC23" s="81"/>
      <c r="AD23" s="81"/>
      <c r="AE23" s="81"/>
      <c r="AF23" s="81"/>
      <c r="AG23" s="81"/>
      <c r="AH23" s="81"/>
      <c r="AI23" s="81"/>
      <c r="AJ23" s="81"/>
      <c r="AK23" s="81"/>
      <c r="AL23" s="81"/>
      <c r="AM23" s="81"/>
      <c r="AN23" s="81"/>
      <c r="AO23" s="81"/>
      <c r="AP23" s="81"/>
      <c r="AQ23" s="81"/>
      <c r="AR23" s="81"/>
      <c r="AS23" s="81"/>
      <c r="AT23" s="81"/>
      <c r="AU23" s="81"/>
      <c r="AV23" s="81"/>
      <c r="AW23" s="81"/>
      <c r="AX23" s="81"/>
      <c r="AY23" s="81"/>
      <c r="AZ23" s="81"/>
      <c r="BA23" s="81"/>
      <c r="BB23" s="81"/>
      <c r="BC23" s="81"/>
      <c r="BD23" s="81"/>
      <c r="BE23" s="81"/>
      <c r="BF23" s="81"/>
      <c r="BG23" s="81"/>
      <c r="BH23" s="81"/>
      <c r="BI23" s="81"/>
      <c r="BJ23" s="81"/>
      <c r="BK23" s="81"/>
      <c r="BL23" s="81"/>
      <c r="BM23" s="81"/>
      <c r="BN23" s="81"/>
      <c r="BO23" s="81"/>
      <c r="BP23" s="81"/>
      <c r="BQ23" s="81"/>
      <c r="BR23" s="81"/>
      <c r="BS23" s="81"/>
      <c r="BT23" s="14"/>
      <c r="BU23" s="99" t="s">
        <v>28</v>
      </c>
      <c r="BV23" s="115">
        <f>(AS18)</f>
        <v>1902</v>
      </c>
      <c r="BW23" s="99" t="s">
        <v>28</v>
      </c>
      <c r="BX23" s="115">
        <f>(AT18)</f>
        <v>49</v>
      </c>
      <c r="BY23" s="99" t="s">
        <v>28</v>
      </c>
      <c r="BZ23" s="115">
        <f>(AU18)</f>
        <v>147</v>
      </c>
      <c r="CA23" s="115">
        <f>(AV18)</f>
        <v>121</v>
      </c>
      <c r="CB23" s="117"/>
      <c r="CC23" s="117"/>
      <c r="CD23" s="117"/>
      <c r="CE23" s="117"/>
      <c r="CF23" s="117"/>
      <c r="CG23" s="117"/>
      <c r="CH23" s="117"/>
      <c r="CI23" s="118"/>
      <c r="CJ23" s="118"/>
      <c r="CK23" s="118"/>
      <c r="CL23" s="118"/>
      <c r="CM23" s="118"/>
      <c r="CN23" s="118"/>
      <c r="CO23" s="15"/>
      <c r="CP23" s="15"/>
      <c r="CQ23" s="15"/>
      <c r="CR23" s="15"/>
      <c r="CS23" s="15"/>
      <c r="CT23" s="15"/>
      <c r="CU23" s="15"/>
      <c r="CV23" s="15"/>
      <c r="CW23" s="15"/>
      <c r="CX23" s="15"/>
      <c r="CY23" s="15"/>
      <c r="CZ23" s="15"/>
      <c r="DA23" s="15"/>
      <c r="DB23" s="15"/>
      <c r="DC23" s="15"/>
      <c r="DD23" s="15"/>
      <c r="DE23" s="15"/>
      <c r="DF23" s="15"/>
    </row>
    <row r="24" spans="1:110" ht="15.75" customHeight="1">
      <c r="A24" s="174" t="s">
        <v>109</v>
      </c>
      <c r="B24" s="175"/>
      <c r="C24" s="80">
        <f>SUM(G18+N18+U18+AB18+AI18+AP18+AW18+BD18+BK18+BR18)/(69)</f>
        <v>9.0144927536231876</v>
      </c>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c r="AL24" s="81"/>
      <c r="AM24" s="81"/>
      <c r="AN24" s="81"/>
      <c r="AO24" s="81"/>
      <c r="AP24" s="81"/>
      <c r="AQ24" s="81"/>
      <c r="AR24" s="81"/>
      <c r="AS24" s="81"/>
      <c r="AT24" s="81"/>
      <c r="AU24" s="81"/>
      <c r="AV24" s="81"/>
      <c r="AW24" s="81"/>
      <c r="AX24" s="81"/>
      <c r="AY24" s="81"/>
      <c r="AZ24" s="81"/>
      <c r="BA24" s="81"/>
      <c r="BB24" s="81"/>
      <c r="BC24" s="81"/>
      <c r="BD24" s="81"/>
      <c r="BE24" s="81"/>
      <c r="BF24" s="81"/>
      <c r="BG24" s="81"/>
      <c r="BH24" s="81"/>
      <c r="BI24" s="81"/>
      <c r="BJ24" s="81"/>
      <c r="BK24" s="81"/>
      <c r="BL24" s="81"/>
      <c r="BM24" s="81"/>
      <c r="BN24" s="81"/>
      <c r="BO24" s="81"/>
      <c r="BP24" s="81"/>
      <c r="BQ24" s="81"/>
      <c r="BR24" s="81"/>
      <c r="BS24" s="81"/>
      <c r="BT24" s="14"/>
      <c r="BU24" s="99" t="s">
        <v>29</v>
      </c>
      <c r="BV24" s="115">
        <f>(AZ18)</f>
        <v>1705</v>
      </c>
      <c r="BW24" s="99" t="s">
        <v>29</v>
      </c>
      <c r="BX24" s="115">
        <f>(BA18)</f>
        <v>55</v>
      </c>
      <c r="BY24" s="99" t="s">
        <v>29</v>
      </c>
      <c r="BZ24" s="115">
        <f>(BB18)</f>
        <v>137</v>
      </c>
      <c r="CA24" s="115">
        <f>(BC18)</f>
        <v>83</v>
      </c>
      <c r="CB24" s="117"/>
      <c r="CC24" s="117"/>
      <c r="CD24" s="117"/>
      <c r="CE24" s="117"/>
      <c r="CF24" s="117"/>
      <c r="CG24" s="117"/>
      <c r="CH24" s="117"/>
      <c r="CI24" s="118"/>
      <c r="CJ24" s="118"/>
      <c r="CK24" s="118"/>
      <c r="CL24" s="118"/>
      <c r="CM24" s="118"/>
      <c r="CN24" s="118"/>
      <c r="CO24" s="15"/>
      <c r="CP24" s="15"/>
      <c r="CQ24" s="15"/>
      <c r="CR24" s="15"/>
      <c r="CS24" s="15"/>
      <c r="CT24" s="15"/>
      <c r="CU24" s="15"/>
      <c r="CV24" s="15"/>
      <c r="CW24" s="15"/>
      <c r="CX24" s="15"/>
      <c r="CY24" s="15"/>
      <c r="CZ24" s="15"/>
      <c r="DA24" s="15"/>
      <c r="DB24" s="15"/>
      <c r="DC24" s="15"/>
      <c r="DD24" s="15"/>
      <c r="DE24" s="15"/>
      <c r="DF24" s="15"/>
    </row>
    <row r="25" spans="1:110" ht="15.75" customHeight="1">
      <c r="A25" s="174" t="s">
        <v>76</v>
      </c>
      <c r="B25" s="176"/>
      <c r="C25" s="80">
        <f t="shared" ref="C25" si="21">(C20)/(2)</f>
        <v>132.2391304347826</v>
      </c>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c r="AU25" s="81"/>
      <c r="AV25" s="81"/>
      <c r="AW25" s="81"/>
      <c r="AX25" s="81"/>
      <c r="AY25" s="81"/>
      <c r="AZ25" s="81"/>
      <c r="BA25" s="81"/>
      <c r="BB25" s="81"/>
      <c r="BC25" s="81"/>
      <c r="BD25" s="81"/>
      <c r="BE25" s="81"/>
      <c r="BF25" s="81"/>
      <c r="BG25" s="81"/>
      <c r="BH25" s="81"/>
      <c r="BI25" s="81"/>
      <c r="BJ25" s="81"/>
      <c r="BK25" s="81"/>
      <c r="BL25" s="81"/>
      <c r="BM25" s="81"/>
      <c r="BN25" s="81"/>
      <c r="BO25" s="81"/>
      <c r="BP25" s="81"/>
      <c r="BQ25" s="81"/>
      <c r="BR25" s="81"/>
      <c r="BS25" s="81"/>
      <c r="BT25" s="14"/>
      <c r="BU25" s="99" t="s">
        <v>30</v>
      </c>
      <c r="BV25" s="115">
        <f>(BG18)</f>
        <v>1416</v>
      </c>
      <c r="BW25" s="99" t="s">
        <v>30</v>
      </c>
      <c r="BX25" s="115">
        <f>(BH18)</f>
        <v>58</v>
      </c>
      <c r="BY25" s="99" t="s">
        <v>30</v>
      </c>
      <c r="BZ25" s="115">
        <f>(BI18)</f>
        <v>120</v>
      </c>
      <c r="CA25" s="115">
        <f>(BJ18)</f>
        <v>62</v>
      </c>
      <c r="CB25" s="117"/>
      <c r="CC25" s="117"/>
      <c r="CD25" s="117"/>
      <c r="CE25" s="117"/>
      <c r="CF25" s="117"/>
      <c r="CG25" s="117"/>
      <c r="CH25" s="117"/>
      <c r="CI25" s="118"/>
      <c r="CJ25" s="118"/>
      <c r="CK25" s="118"/>
      <c r="CL25" s="118"/>
      <c r="CM25" s="118"/>
      <c r="CN25" s="118"/>
      <c r="CO25" s="15"/>
      <c r="CP25" s="15"/>
      <c r="CQ25" s="15"/>
      <c r="CR25" s="15"/>
      <c r="CS25" s="15"/>
      <c r="CT25" s="15"/>
      <c r="CU25" s="15"/>
      <c r="CV25" s="15"/>
      <c r="CW25" s="15"/>
      <c r="CX25" s="15"/>
      <c r="CY25" s="15"/>
      <c r="CZ25" s="15"/>
      <c r="DA25" s="15"/>
      <c r="DB25" s="15"/>
      <c r="DC25" s="15"/>
      <c r="DD25" s="15"/>
      <c r="DE25" s="15"/>
      <c r="DF25" s="15"/>
    </row>
    <row r="26" spans="1:110" ht="15.75" customHeight="1">
      <c r="A26" s="174" t="s">
        <v>77</v>
      </c>
      <c r="B26" s="176"/>
      <c r="C26" s="80">
        <f>(C21)/(2)</f>
        <v>4.2971014492753623</v>
      </c>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c r="AL26" s="81"/>
      <c r="AM26" s="81"/>
      <c r="AN26" s="81"/>
      <c r="AO26" s="81"/>
      <c r="AP26" s="81"/>
      <c r="AQ26" s="81"/>
      <c r="AR26" s="81"/>
      <c r="AS26" s="81"/>
      <c r="AT26" s="81"/>
      <c r="AU26" s="81"/>
      <c r="AV26" s="81"/>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14"/>
      <c r="BU26" s="99" t="s">
        <v>31</v>
      </c>
      <c r="BV26" s="115">
        <f>(BN18)</f>
        <v>2332</v>
      </c>
      <c r="BW26" s="99" t="s">
        <v>31</v>
      </c>
      <c r="BX26" s="115">
        <f>(BO18)</f>
        <v>71</v>
      </c>
      <c r="BY26" s="99" t="s">
        <v>31</v>
      </c>
      <c r="BZ26" s="115">
        <f t="shared" ref="BZ26:CA26" si="22">(BP18)</f>
        <v>192</v>
      </c>
      <c r="CA26" s="115">
        <f t="shared" si="22"/>
        <v>134</v>
      </c>
      <c r="CB26" s="117"/>
      <c r="CC26" s="117"/>
      <c r="CD26" s="117"/>
      <c r="CE26" s="117"/>
      <c r="CF26" s="117"/>
      <c r="CG26" s="117"/>
      <c r="CH26" s="117"/>
      <c r="CI26" s="118"/>
      <c r="CJ26" s="118"/>
      <c r="CK26" s="118"/>
      <c r="CL26" s="118"/>
      <c r="CM26" s="118"/>
      <c r="CN26" s="118"/>
      <c r="CO26" s="15"/>
      <c r="CP26" s="15"/>
      <c r="CQ26" s="15"/>
      <c r="CR26" s="15"/>
      <c r="CS26" s="15"/>
      <c r="CT26" s="15"/>
      <c r="CU26" s="15"/>
      <c r="CV26" s="15"/>
      <c r="CW26" s="15"/>
      <c r="CX26" s="15"/>
      <c r="CY26" s="15"/>
      <c r="CZ26" s="15"/>
      <c r="DA26" s="15"/>
      <c r="DB26" s="15"/>
      <c r="DC26" s="15"/>
      <c r="DD26" s="15"/>
      <c r="DE26" s="15"/>
      <c r="DF26" s="15"/>
    </row>
    <row r="27" spans="1:110" ht="15.75" customHeight="1">
      <c r="A27" s="174" t="s">
        <v>78</v>
      </c>
      <c r="B27" s="176"/>
      <c r="C27" s="80">
        <f>(C22)/(2)</f>
        <v>11.202898550724637</v>
      </c>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1"/>
      <c r="AY27" s="81"/>
      <c r="AZ27" s="81"/>
      <c r="BA27" s="81"/>
      <c r="BB27" s="81"/>
      <c r="BC27" s="81"/>
      <c r="BD27" s="81"/>
      <c r="BE27" s="81"/>
      <c r="BF27" s="81"/>
      <c r="BG27" s="81"/>
      <c r="BH27" s="81"/>
      <c r="BI27" s="81"/>
      <c r="BJ27" s="81"/>
      <c r="BK27" s="81"/>
      <c r="BL27" s="81"/>
      <c r="BM27" s="81"/>
      <c r="BN27" s="81"/>
      <c r="BO27" s="81"/>
      <c r="BP27" s="81"/>
      <c r="BQ27" s="81"/>
      <c r="BR27" s="81"/>
      <c r="BS27" s="81"/>
      <c r="BT27" s="14"/>
      <c r="BU27" s="98"/>
      <c r="BV27" s="98"/>
      <c r="BW27" s="98"/>
      <c r="BX27" s="98"/>
      <c r="BY27" s="117"/>
      <c r="BZ27" s="117"/>
      <c r="CA27" s="117"/>
      <c r="CB27" s="117"/>
      <c r="CC27" s="117"/>
      <c r="CD27" s="117"/>
      <c r="CE27" s="117"/>
      <c r="CF27" s="117"/>
      <c r="CG27" s="117"/>
      <c r="CH27" s="117"/>
      <c r="CI27" s="118"/>
      <c r="CJ27" s="118"/>
      <c r="CK27" s="118"/>
      <c r="CL27" s="118"/>
      <c r="CM27" s="118"/>
      <c r="CN27" s="118"/>
      <c r="CO27" s="15"/>
      <c r="CP27" s="15"/>
      <c r="CQ27" s="15"/>
      <c r="CR27" s="15"/>
      <c r="CS27" s="15"/>
      <c r="CT27" s="15"/>
      <c r="CU27" s="15"/>
      <c r="CV27" s="15"/>
      <c r="CW27" s="15"/>
      <c r="CX27" s="15"/>
      <c r="CY27" s="15"/>
      <c r="CZ27" s="15"/>
      <c r="DA27" s="15"/>
      <c r="DB27" s="15"/>
      <c r="DC27" s="15"/>
      <c r="DD27" s="15"/>
      <c r="DE27" s="15"/>
      <c r="DF27" s="15"/>
    </row>
    <row r="28" spans="1:110" ht="15.75" customHeight="1">
      <c r="A28" s="174" t="s">
        <v>79</v>
      </c>
      <c r="B28" s="176"/>
      <c r="C28" s="80">
        <f>(C23)/(2)</f>
        <v>6.7826086956521738</v>
      </c>
      <c r="D28" s="81"/>
      <c r="E28" s="81"/>
      <c r="F28" s="81"/>
      <c r="G28" s="81"/>
      <c r="H28" s="81"/>
      <c r="I28" s="81"/>
      <c r="J28" s="81"/>
      <c r="K28" s="81"/>
      <c r="L28" s="81"/>
      <c r="M28" s="81"/>
      <c r="N28" s="81"/>
      <c r="O28" s="81"/>
      <c r="P28" s="81"/>
      <c r="Q28" s="81"/>
      <c r="R28" s="81"/>
      <c r="S28" s="81"/>
      <c r="T28" s="81"/>
      <c r="U28" s="81"/>
      <c r="V28" s="81"/>
      <c r="W28" s="81"/>
      <c r="X28" s="81"/>
      <c r="Y28" s="81"/>
      <c r="Z28" s="81"/>
      <c r="AA28" s="81"/>
      <c r="AB28" s="81"/>
      <c r="AC28" s="81"/>
      <c r="AD28" s="81"/>
      <c r="AE28" s="81"/>
      <c r="AF28" s="81"/>
      <c r="AG28" s="81"/>
      <c r="AH28" s="81"/>
      <c r="AI28" s="81"/>
      <c r="AJ28" s="81"/>
      <c r="AK28" s="81"/>
      <c r="AL28" s="81"/>
      <c r="AM28" s="81"/>
      <c r="AN28" s="81"/>
      <c r="AO28" s="81"/>
      <c r="AP28" s="81"/>
      <c r="AQ28" s="81"/>
      <c r="AR28" s="81"/>
      <c r="AS28" s="81"/>
      <c r="AT28" s="81"/>
      <c r="AU28" s="81"/>
      <c r="AV28" s="81"/>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14"/>
      <c r="BU28" s="98"/>
      <c r="BV28" s="98"/>
      <c r="BW28" s="98"/>
      <c r="BX28" s="98"/>
      <c r="BY28" s="117"/>
      <c r="BZ28" s="117"/>
      <c r="CA28" s="117"/>
      <c r="CB28" s="117"/>
      <c r="CC28" s="117"/>
      <c r="CD28" s="117"/>
      <c r="CE28" s="117"/>
      <c r="CF28" s="117"/>
      <c r="CG28" s="117"/>
      <c r="CH28" s="117"/>
      <c r="CI28" s="118"/>
      <c r="CJ28" s="118"/>
      <c r="CK28" s="118"/>
      <c r="CL28" s="118"/>
      <c r="CM28" s="118"/>
      <c r="CN28" s="118"/>
      <c r="CO28" s="15"/>
      <c r="CP28" s="15"/>
      <c r="CQ28" s="15"/>
      <c r="CR28" s="15"/>
      <c r="CS28" s="15"/>
      <c r="CT28" s="15"/>
      <c r="CU28" s="15"/>
      <c r="CV28" s="15"/>
      <c r="CW28" s="15"/>
      <c r="CX28" s="15"/>
      <c r="CY28" s="15"/>
      <c r="CZ28" s="15"/>
      <c r="DA28" s="15"/>
      <c r="DB28" s="15"/>
      <c r="DC28" s="15"/>
      <c r="DD28" s="15"/>
      <c r="DE28" s="15"/>
      <c r="DF28" s="15"/>
    </row>
    <row r="29" spans="1:110" ht="15.75" customHeight="1">
      <c r="A29" s="174" t="s">
        <v>80</v>
      </c>
      <c r="B29" s="176"/>
      <c r="C29" s="19">
        <f>SUM(C18+J18+Q18+X18+AE18+AL18+AS18+AZ18+BG18+BN18)</f>
        <v>18249</v>
      </c>
      <c r="D29" s="81"/>
      <c r="E29" s="81"/>
      <c r="F29" s="81"/>
      <c r="G29" s="81"/>
      <c r="H29" s="81"/>
      <c r="I29" s="81"/>
      <c r="J29" s="81"/>
      <c r="K29" s="81"/>
      <c r="L29" s="81"/>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14"/>
      <c r="BU29" s="98" t="s">
        <v>18</v>
      </c>
      <c r="BV29" s="98" t="s">
        <v>96</v>
      </c>
      <c r="BW29" s="98"/>
      <c r="BX29" s="98"/>
      <c r="BY29" s="117"/>
      <c r="BZ29" s="117"/>
      <c r="CA29" s="117"/>
      <c r="CB29" s="117"/>
      <c r="CC29" s="117"/>
      <c r="CD29" s="117"/>
      <c r="CE29" s="117"/>
      <c r="CF29" s="117"/>
      <c r="CG29" s="117"/>
      <c r="CH29" s="117"/>
      <c r="CI29" s="118"/>
      <c r="CJ29" s="118"/>
      <c r="CK29" s="118"/>
      <c r="CL29" s="118"/>
      <c r="CM29" s="118"/>
      <c r="CN29" s="118"/>
      <c r="CO29" s="15"/>
      <c r="CP29" s="15"/>
      <c r="CQ29" s="15"/>
      <c r="CR29" s="15"/>
      <c r="CS29" s="15"/>
      <c r="CT29" s="15"/>
      <c r="CU29" s="15"/>
      <c r="CV29" s="15"/>
      <c r="CW29" s="15"/>
      <c r="CX29" s="15"/>
      <c r="CY29" s="15"/>
      <c r="CZ29" s="15"/>
      <c r="DA29" s="15"/>
      <c r="DB29" s="15"/>
      <c r="DC29" s="15"/>
      <c r="DD29" s="15"/>
      <c r="DE29" s="15"/>
      <c r="DF29" s="15"/>
    </row>
    <row r="30" spans="1:110" ht="15.75" customHeight="1">
      <c r="A30" s="174" t="s">
        <v>81</v>
      </c>
      <c r="B30" s="176"/>
      <c r="C30" s="19">
        <f>SUM(D18+K18+R18+Y18+AF18+AM18+AT18+BA18+BH18+BO18)</f>
        <v>593</v>
      </c>
      <c r="D30" s="81"/>
      <c r="E30" s="81"/>
      <c r="F30" s="81"/>
      <c r="G30" s="81"/>
      <c r="H30" s="81"/>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c r="AQ30" s="81"/>
      <c r="AR30" s="81"/>
      <c r="AS30" s="81"/>
      <c r="AT30" s="81"/>
      <c r="AU30" s="81"/>
      <c r="AV30" s="81"/>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14"/>
      <c r="BU30" s="98" t="s">
        <v>22</v>
      </c>
      <c r="BV30" s="119">
        <f>[1]Dashboard!K7</f>
        <v>0.15064622373651382</v>
      </c>
      <c r="BW30" s="98"/>
      <c r="BX30" s="98"/>
      <c r="BY30" s="117"/>
      <c r="BZ30" s="117"/>
      <c r="CA30" s="117"/>
      <c r="CB30" s="117"/>
      <c r="CC30" s="117"/>
      <c r="CD30" s="117"/>
      <c r="CE30" s="117"/>
      <c r="CF30" s="117"/>
      <c r="CG30" s="117"/>
      <c r="CH30" s="117"/>
      <c r="CI30" s="118"/>
      <c r="CJ30" s="118"/>
      <c r="CK30" s="118"/>
      <c r="CL30" s="118"/>
      <c r="CM30" s="118"/>
      <c r="CN30" s="118"/>
      <c r="CO30" s="15"/>
      <c r="CP30" s="15"/>
      <c r="CQ30" s="15"/>
      <c r="CR30" s="15"/>
      <c r="CS30" s="15"/>
      <c r="CT30" s="15"/>
      <c r="CU30" s="15"/>
      <c r="CV30" s="15"/>
      <c r="CW30" s="15"/>
      <c r="CX30" s="15"/>
      <c r="CY30" s="15"/>
      <c r="CZ30" s="15"/>
      <c r="DA30" s="15"/>
      <c r="DB30" s="15"/>
      <c r="DC30" s="15"/>
      <c r="DD30" s="15"/>
      <c r="DE30" s="15"/>
      <c r="DF30" s="15"/>
    </row>
    <row r="31" spans="1:110" ht="15.75" customHeight="1">
      <c r="A31" s="174" t="s">
        <v>110</v>
      </c>
      <c r="B31" s="175"/>
      <c r="C31" s="19">
        <f>SUM(G18+N18+U18+AB18+AI18+AP18+AW18+BD18+BK18+BR18)</f>
        <v>622</v>
      </c>
      <c r="D31" s="81"/>
      <c r="E31" s="81"/>
      <c r="F31" s="81"/>
      <c r="G31" s="81"/>
      <c r="H31" s="81"/>
      <c r="I31" s="81"/>
      <c r="J31" s="81"/>
      <c r="K31" s="81"/>
      <c r="L31" s="81"/>
      <c r="M31" s="81"/>
      <c r="N31" s="81"/>
      <c r="O31" s="81"/>
      <c r="P31" s="81"/>
      <c r="Q31" s="81"/>
      <c r="R31" s="81"/>
      <c r="S31" s="81"/>
      <c r="T31" s="81"/>
      <c r="U31" s="81"/>
      <c r="V31" s="81"/>
      <c r="W31" s="81"/>
      <c r="X31" s="81"/>
      <c r="Y31" s="81"/>
      <c r="Z31" s="81"/>
      <c r="AA31" s="81"/>
      <c r="AB31" s="81"/>
      <c r="AC31" s="81"/>
      <c r="AD31" s="81"/>
      <c r="AE31" s="81"/>
      <c r="AF31" s="81"/>
      <c r="AG31" s="81"/>
      <c r="AH31" s="81"/>
      <c r="AI31" s="81"/>
      <c r="AJ31" s="81"/>
      <c r="AK31" s="81"/>
      <c r="AL31" s="81"/>
      <c r="AM31" s="81"/>
      <c r="AN31" s="81"/>
      <c r="AO31" s="81"/>
      <c r="AP31" s="81"/>
      <c r="AQ31" s="81"/>
      <c r="AR31" s="81"/>
      <c r="AS31" s="81"/>
      <c r="AT31" s="81"/>
      <c r="AU31" s="81"/>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14"/>
      <c r="BU31" s="98" t="s">
        <v>27</v>
      </c>
      <c r="BV31" s="119">
        <f>[1]Dashboard!K8</f>
        <v>-0.94937385759697079</v>
      </c>
      <c r="BW31" s="98"/>
      <c r="BX31" s="98"/>
      <c r="BY31" s="117"/>
      <c r="BZ31" s="117"/>
      <c r="CA31" s="117"/>
      <c r="CB31" s="117"/>
      <c r="CC31" s="117"/>
      <c r="CD31" s="117"/>
      <c r="CE31" s="117"/>
      <c r="CF31" s="117"/>
      <c r="CG31" s="117"/>
      <c r="CH31" s="117"/>
      <c r="CI31" s="118"/>
      <c r="CJ31" s="118"/>
      <c r="CK31" s="118"/>
      <c r="CL31" s="118"/>
      <c r="CM31" s="118"/>
      <c r="CN31" s="118"/>
      <c r="CO31" s="15"/>
      <c r="CP31" s="15"/>
      <c r="CQ31" s="15"/>
      <c r="CR31" s="15"/>
      <c r="CS31" s="15"/>
      <c r="CT31" s="15"/>
      <c r="CU31" s="15"/>
      <c r="CV31" s="15"/>
      <c r="CW31" s="15"/>
      <c r="CX31" s="15"/>
      <c r="CY31" s="15"/>
      <c r="CZ31" s="15"/>
      <c r="DA31" s="15"/>
      <c r="DB31" s="15"/>
      <c r="DC31" s="15"/>
      <c r="DD31" s="15"/>
      <c r="DE31" s="15"/>
      <c r="DF31" s="15"/>
    </row>
    <row r="32" spans="1:110" ht="15.75" customHeight="1">
      <c r="A32" s="174" t="s">
        <v>82</v>
      </c>
      <c r="B32" s="176"/>
      <c r="C32" s="19">
        <f>SUM(E18+L18+S18+Z18+AG18+AN18+AU18+BB18+BI18+BP18)</f>
        <v>1546</v>
      </c>
      <c r="D32" s="81"/>
      <c r="E32" s="81"/>
      <c r="F32" s="81"/>
      <c r="G32" s="81"/>
      <c r="H32" s="81"/>
      <c r="I32" s="81"/>
      <c r="J32" s="81"/>
      <c r="K32" s="81"/>
      <c r="L32" s="81"/>
      <c r="M32" s="81"/>
      <c r="N32" s="81"/>
      <c r="O32" s="81"/>
      <c r="P32" s="81"/>
      <c r="Q32" s="81"/>
      <c r="R32" s="81"/>
      <c r="S32" s="81"/>
      <c r="T32" s="81"/>
      <c r="U32" s="81"/>
      <c r="V32" s="81"/>
      <c r="W32" s="81"/>
      <c r="X32" s="81"/>
      <c r="Y32" s="81"/>
      <c r="Z32" s="81"/>
      <c r="AA32" s="81"/>
      <c r="AB32" s="81"/>
      <c r="AC32" s="81"/>
      <c r="AD32" s="81"/>
      <c r="AE32" s="81"/>
      <c r="AF32" s="81"/>
      <c r="AG32" s="81"/>
      <c r="AH32" s="81"/>
      <c r="AI32" s="81"/>
      <c r="AJ32" s="81"/>
      <c r="AK32" s="81"/>
      <c r="AL32" s="81"/>
      <c r="AM32" s="81"/>
      <c r="AN32" s="81"/>
      <c r="AO32" s="81"/>
      <c r="AP32" s="81"/>
      <c r="AQ32" s="81"/>
      <c r="AR32" s="81"/>
      <c r="AS32" s="81"/>
      <c r="AT32" s="81"/>
      <c r="AU32" s="81"/>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14"/>
      <c r="BU32" s="98" t="s">
        <v>24</v>
      </c>
      <c r="BV32" s="119">
        <f>[1]Dashboard!K9</f>
        <v>-0.14685314685314665</v>
      </c>
      <c r="BW32" s="98"/>
      <c r="BX32" s="98"/>
      <c r="BY32" s="117"/>
      <c r="BZ32" s="117"/>
      <c r="CA32" s="117"/>
      <c r="CB32" s="117"/>
      <c r="CC32" s="117"/>
      <c r="CD32" s="117"/>
      <c r="CE32" s="117"/>
      <c r="CF32" s="117"/>
      <c r="CG32" s="117"/>
      <c r="CH32" s="117"/>
      <c r="CI32" s="118"/>
      <c r="CJ32" s="118"/>
      <c r="CK32" s="118"/>
      <c r="CL32" s="118"/>
      <c r="CM32" s="118"/>
      <c r="CN32" s="118"/>
      <c r="CO32" s="15"/>
      <c r="CP32" s="15"/>
      <c r="CQ32" s="15"/>
      <c r="CR32" s="15"/>
      <c r="CS32" s="15"/>
      <c r="CT32" s="15"/>
      <c r="CU32" s="15"/>
      <c r="CV32" s="15"/>
      <c r="CW32" s="15"/>
      <c r="CX32" s="15"/>
      <c r="CY32" s="15"/>
      <c r="CZ32" s="15"/>
      <c r="DA32" s="15"/>
      <c r="DB32" s="15"/>
      <c r="DC32" s="15"/>
      <c r="DD32" s="15"/>
      <c r="DE32" s="15"/>
      <c r="DF32" s="15"/>
    </row>
    <row r="33" spans="1:110" ht="15.75" customHeight="1">
      <c r="A33" s="174" t="s">
        <v>83</v>
      </c>
      <c r="B33" s="176"/>
      <c r="C33" s="19">
        <f>SUM(F18+M18+T18+AA18+AH18+AO18+AV18+BC18+BJ18+BQ18)</f>
        <v>936</v>
      </c>
      <c r="D33" s="81"/>
      <c r="E33" s="81"/>
      <c r="F33" s="81"/>
      <c r="G33" s="81"/>
      <c r="H33" s="81"/>
      <c r="I33" s="81"/>
      <c r="J33" s="81"/>
      <c r="K33" s="81"/>
      <c r="L33" s="81"/>
      <c r="M33" s="81"/>
      <c r="N33" s="81"/>
      <c r="O33" s="81"/>
      <c r="P33" s="81"/>
      <c r="Q33" s="81"/>
      <c r="R33" s="81"/>
      <c r="S33" s="81"/>
      <c r="T33" s="81"/>
      <c r="U33" s="81"/>
      <c r="V33" s="81"/>
      <c r="W33" s="81"/>
      <c r="X33" s="81"/>
      <c r="Y33" s="81"/>
      <c r="Z33" s="81"/>
      <c r="AA33" s="81"/>
      <c r="AB33" s="81"/>
      <c r="AC33" s="81"/>
      <c r="AD33" s="81"/>
      <c r="AE33" s="81"/>
      <c r="AF33" s="81"/>
      <c r="AG33" s="81"/>
      <c r="AH33" s="81"/>
      <c r="AI33" s="81"/>
      <c r="AJ33" s="81"/>
      <c r="AK33" s="81"/>
      <c r="AL33" s="81"/>
      <c r="AM33" s="81"/>
      <c r="AN33" s="81"/>
      <c r="AO33" s="81"/>
      <c r="AP33" s="81"/>
      <c r="AQ33" s="81"/>
      <c r="AR33" s="81"/>
      <c r="AS33" s="81"/>
      <c r="AT33" s="81"/>
      <c r="AU33" s="81"/>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14"/>
      <c r="BU33" s="110" t="s">
        <v>30</v>
      </c>
      <c r="BV33" s="119">
        <f>[1]Dashboard!K10</f>
        <v>-0.86573882404756652</v>
      </c>
      <c r="BW33" s="98"/>
      <c r="BX33" s="98"/>
      <c r="BY33" s="117"/>
      <c r="BZ33" s="117"/>
      <c r="CA33" s="117"/>
      <c r="CB33" s="117"/>
      <c r="CC33" s="117"/>
      <c r="CD33" s="117"/>
      <c r="CE33" s="117"/>
      <c r="CF33" s="117"/>
      <c r="CG33" s="117"/>
      <c r="CH33" s="117"/>
      <c r="CI33" s="118"/>
      <c r="CJ33" s="118"/>
      <c r="CK33" s="118"/>
      <c r="CL33" s="118"/>
      <c r="CM33" s="118"/>
      <c r="CN33" s="118"/>
      <c r="CO33" s="15"/>
      <c r="CP33" s="15"/>
      <c r="CQ33" s="15"/>
      <c r="CR33" s="15"/>
      <c r="CS33" s="15"/>
      <c r="CT33" s="15"/>
      <c r="CU33" s="15"/>
      <c r="CV33" s="15"/>
      <c r="CW33" s="15"/>
      <c r="CX33" s="15"/>
      <c r="CY33" s="15"/>
      <c r="CZ33" s="15"/>
      <c r="DA33" s="15"/>
      <c r="DB33" s="15"/>
      <c r="DC33" s="15"/>
      <c r="DD33" s="15"/>
      <c r="DE33" s="15"/>
      <c r="DF33" s="15"/>
    </row>
    <row r="34" spans="1:110" ht="15.75" customHeight="1">
      <c r="A34" s="174" t="s">
        <v>113</v>
      </c>
      <c r="B34" s="176"/>
      <c r="C34" s="19">
        <f>(C32*4)+(C33*6)</f>
        <v>11800</v>
      </c>
      <c r="D34" s="81"/>
      <c r="E34" s="81"/>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14"/>
      <c r="BU34" s="110" t="s">
        <v>29</v>
      </c>
      <c r="BV34" s="119">
        <f>[1]Dashboard!K11</f>
        <v>-0.9179119066166308</v>
      </c>
      <c r="BW34" s="110"/>
      <c r="BX34" s="110"/>
      <c r="BY34" s="111"/>
      <c r="BZ34" s="111"/>
      <c r="CA34" s="111"/>
      <c r="CB34" s="117"/>
      <c r="CC34" s="117"/>
      <c r="CD34" s="117"/>
      <c r="CE34" s="117"/>
      <c r="CF34" s="117"/>
      <c r="CG34" s="117"/>
      <c r="CH34" s="117"/>
      <c r="CI34" s="118"/>
      <c r="CJ34" s="118"/>
      <c r="CK34" s="118"/>
      <c r="CL34" s="118"/>
      <c r="CM34" s="118"/>
      <c r="CN34" s="118"/>
      <c r="CO34" s="15"/>
      <c r="CP34" s="15"/>
      <c r="CQ34" s="15"/>
      <c r="CR34" s="15"/>
      <c r="CS34" s="15"/>
      <c r="CT34" s="15"/>
      <c r="CU34" s="15"/>
      <c r="CV34" s="15"/>
      <c r="CW34" s="15"/>
      <c r="CX34" s="15"/>
      <c r="CY34" s="15"/>
      <c r="CZ34" s="15"/>
      <c r="DA34" s="15"/>
      <c r="DB34" s="15"/>
      <c r="DC34" s="15"/>
      <c r="DD34" s="15"/>
      <c r="DE34" s="15"/>
      <c r="DF34" s="15"/>
    </row>
    <row r="35" spans="1:110" ht="15.75" customHeight="1">
      <c r="A35" s="29" t="s">
        <v>84</v>
      </c>
      <c r="B35" s="82">
        <f>CountColorIf(A35,C4:BO17)</f>
        <v>31</v>
      </c>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U35" s="110" t="s">
        <v>23</v>
      </c>
      <c r="BV35" s="119">
        <f>[1]Dashboard!K12</f>
        <v>-0.64867426761295732</v>
      </c>
      <c r="BW35" s="110"/>
      <c r="BX35" s="110"/>
      <c r="BY35" s="111"/>
      <c r="BZ35" s="111"/>
      <c r="CA35" s="111"/>
      <c r="CB35" s="111"/>
      <c r="CC35" s="111"/>
      <c r="CD35" s="111"/>
      <c r="CE35" s="111"/>
      <c r="CF35" s="111"/>
      <c r="CG35" s="111"/>
      <c r="CH35" s="111"/>
      <c r="CI35" s="111"/>
      <c r="CJ35" s="111"/>
      <c r="CK35" s="111"/>
      <c r="CL35" s="111"/>
      <c r="CM35" s="111"/>
      <c r="CN35" s="111"/>
    </row>
    <row r="36" spans="1:110" ht="15.75" customHeight="1">
      <c r="A36" s="66" t="s">
        <v>85</v>
      </c>
      <c r="B36" s="82">
        <f>CountColorIf(A36,C4:BO17)</f>
        <v>17</v>
      </c>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U36" s="110" t="s">
        <v>28</v>
      </c>
      <c r="BV36" s="119">
        <f>[1]Dashboard!K13</f>
        <v>0.51837209302325604</v>
      </c>
      <c r="BW36" s="110"/>
      <c r="BX36" s="110"/>
      <c r="BY36" s="111"/>
      <c r="BZ36" s="111"/>
      <c r="CA36" s="111"/>
      <c r="CB36" s="111"/>
      <c r="CC36" s="111"/>
      <c r="CD36" s="111"/>
      <c r="CE36" s="111"/>
      <c r="CF36" s="111"/>
      <c r="CG36" s="111"/>
      <c r="CH36" s="111"/>
      <c r="CI36" s="111"/>
      <c r="CJ36" s="111"/>
      <c r="CK36" s="111"/>
      <c r="CL36" s="111"/>
      <c r="CM36" s="111"/>
      <c r="CN36" s="111"/>
    </row>
    <row r="37" spans="1:110" ht="15.75" customHeight="1">
      <c r="A37" s="68" t="s">
        <v>86</v>
      </c>
      <c r="B37" s="82">
        <f>CountColorIf(A37,C4:BO17)</f>
        <v>17</v>
      </c>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U37" s="110" t="s">
        <v>26</v>
      </c>
      <c r="BV37" s="119">
        <f>[1]Dashboard!K14</f>
        <v>0.50987179172897434</v>
      </c>
      <c r="BW37" s="110"/>
      <c r="BX37" s="110"/>
      <c r="BY37" s="111"/>
      <c r="BZ37" s="111"/>
      <c r="CA37" s="111"/>
      <c r="CB37" s="111"/>
      <c r="CC37" s="111"/>
      <c r="CD37" s="111"/>
      <c r="CE37" s="111"/>
      <c r="CF37" s="111"/>
      <c r="CG37" s="111"/>
      <c r="CH37" s="111"/>
      <c r="CI37" s="111"/>
      <c r="CJ37" s="111"/>
      <c r="CK37" s="111"/>
      <c r="CL37" s="111"/>
      <c r="CM37" s="111"/>
      <c r="CN37" s="111"/>
    </row>
    <row r="38" spans="1:110" ht="15.75" customHeight="1">
      <c r="A38" s="23" t="s">
        <v>87</v>
      </c>
      <c r="B38" s="82">
        <f>CountColorIf(A38,C4:BO17)</f>
        <v>31</v>
      </c>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U38" s="110" t="s">
        <v>25</v>
      </c>
      <c r="BV38" s="119">
        <f>[1]Dashboard!K15</f>
        <v>1.2551368115388541</v>
      </c>
      <c r="BW38" s="110"/>
      <c r="BX38" s="110"/>
      <c r="BY38" s="111"/>
      <c r="BZ38" s="111"/>
      <c r="CA38" s="111"/>
      <c r="CB38" s="111"/>
      <c r="CC38" s="111"/>
      <c r="CD38" s="111"/>
      <c r="CE38" s="111"/>
      <c r="CF38" s="111"/>
      <c r="CG38" s="111"/>
      <c r="CH38" s="111"/>
      <c r="CI38" s="111"/>
      <c r="CJ38" s="111"/>
      <c r="CK38" s="111"/>
      <c r="CL38" s="111"/>
      <c r="CM38" s="111"/>
      <c r="CN38" s="111"/>
    </row>
    <row r="39" spans="1:110" ht="15.75" customHeight="1">
      <c r="A39" s="84" t="s">
        <v>88</v>
      </c>
      <c r="B39" s="82">
        <f t="array" ref="B39">CountColorIf(A39,C4:BO17)</f>
        <v>1</v>
      </c>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U39" s="110" t="s">
        <v>31</v>
      </c>
      <c r="BV39" s="119">
        <f>[1]Dashboard!K16</f>
        <v>0.73202664697094022</v>
      </c>
      <c r="BW39" s="110"/>
      <c r="BX39" s="110"/>
      <c r="CB39" s="111"/>
      <c r="CC39" s="111"/>
      <c r="CD39" s="111"/>
      <c r="CE39" s="111"/>
      <c r="CF39" s="111"/>
      <c r="CG39" s="111"/>
      <c r="CH39" s="111"/>
      <c r="CI39" s="111"/>
      <c r="CJ39" s="111"/>
      <c r="CK39" s="111"/>
      <c r="CL39" s="111"/>
      <c r="CM39" s="111"/>
      <c r="CN39" s="111"/>
    </row>
    <row r="40" spans="1:110" ht="15.75" customHeight="1">
      <c r="A40" s="85" t="s">
        <v>89</v>
      </c>
      <c r="B40" s="82">
        <f t="array" ref="B40">CountColorIf(A40,C4:BO17)</f>
        <v>1</v>
      </c>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U40" s="4"/>
      <c r="BV40" s="4"/>
      <c r="BW40" s="4"/>
      <c r="BX40" s="4"/>
    </row>
    <row r="41" spans="1:110" ht="15.75" customHeight="1">
      <c r="A41" s="71" t="s">
        <v>90</v>
      </c>
      <c r="B41" s="82">
        <f>CountColorIf(A41,C4:BO17)/2</f>
        <v>1</v>
      </c>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U41" s="4"/>
      <c r="BV41" s="4"/>
      <c r="BW41" s="4"/>
      <c r="BX41" s="4"/>
    </row>
    <row r="42" spans="1:110" ht="15.75" customHeight="1">
      <c r="D42" s="5"/>
      <c r="E42" s="5"/>
      <c r="F42" s="5"/>
      <c r="G42" s="5"/>
      <c r="H42" s="5"/>
      <c r="I42" s="5"/>
      <c r="K42" s="5"/>
      <c r="L42" s="5"/>
      <c r="M42" s="5"/>
      <c r="N42" s="5"/>
      <c r="O42" s="5"/>
      <c r="P42" s="5"/>
      <c r="R42" s="5"/>
      <c r="S42" s="5"/>
      <c r="T42" s="5"/>
      <c r="U42" s="5"/>
      <c r="V42" s="5"/>
      <c r="W42" s="5"/>
      <c r="Y42" s="5"/>
      <c r="Z42" s="5"/>
      <c r="AA42" s="5"/>
      <c r="AB42" s="5"/>
      <c r="AC42" s="5"/>
      <c r="AD42" s="5"/>
      <c r="AF42" s="5"/>
      <c r="AG42" s="5"/>
      <c r="AH42" s="5"/>
      <c r="AI42" s="5"/>
      <c r="AJ42" s="5"/>
      <c r="AK42" s="5"/>
      <c r="AM42" s="5"/>
      <c r="AN42" s="5"/>
      <c r="AO42" s="5"/>
      <c r="AP42" s="5"/>
      <c r="AQ42" s="5"/>
      <c r="AR42" s="5"/>
      <c r="AT42" s="5"/>
      <c r="AU42" s="5"/>
      <c r="AV42" s="5"/>
      <c r="AW42" s="5"/>
      <c r="AX42" s="5"/>
      <c r="AY42" s="5"/>
      <c r="BA42" s="5"/>
      <c r="BB42" s="5"/>
      <c r="BC42" s="5"/>
      <c r="BD42" s="5"/>
      <c r="BE42" s="5"/>
      <c r="BF42" s="5"/>
      <c r="BH42" s="5"/>
      <c r="BI42" s="5"/>
      <c r="BJ42" s="5"/>
      <c r="BK42" s="5"/>
      <c r="BL42" s="5"/>
      <c r="BM42" s="5"/>
      <c r="BO42" s="5"/>
      <c r="BP42" s="5"/>
      <c r="BQ42" s="5"/>
      <c r="BR42" s="5"/>
      <c r="BS42" s="5"/>
      <c r="BU42" s="4"/>
      <c r="BV42" s="4"/>
      <c r="BW42" s="4"/>
      <c r="BX42" s="4"/>
    </row>
    <row r="43" spans="1:110" ht="15.75" customHeight="1">
      <c r="D43" s="5"/>
      <c r="E43" s="5"/>
      <c r="F43" s="5"/>
      <c r="G43" s="5"/>
      <c r="H43" s="5"/>
      <c r="I43" s="5"/>
      <c r="K43" s="5"/>
      <c r="L43" s="5"/>
      <c r="M43" s="5"/>
      <c r="N43" s="5"/>
      <c r="O43" s="5"/>
      <c r="P43" s="5"/>
      <c r="R43" s="5"/>
      <c r="S43" s="5"/>
      <c r="T43" s="5"/>
      <c r="U43" s="5"/>
      <c r="V43" s="5"/>
      <c r="W43" s="5"/>
      <c r="Y43" s="5"/>
      <c r="Z43" s="5"/>
      <c r="AA43" s="5"/>
      <c r="AB43" s="5"/>
      <c r="AC43" s="5"/>
      <c r="AD43" s="5"/>
      <c r="AF43" s="5"/>
      <c r="AG43" s="5"/>
      <c r="AH43" s="5"/>
      <c r="AI43" s="5"/>
      <c r="AJ43" s="5"/>
      <c r="AK43" s="5"/>
      <c r="AM43" s="5"/>
      <c r="AN43" s="5"/>
      <c r="AO43" s="5"/>
      <c r="AP43" s="5"/>
      <c r="AQ43" s="5"/>
      <c r="AR43" s="5"/>
      <c r="AT43" s="5"/>
      <c r="AU43" s="5"/>
      <c r="AV43" s="5"/>
      <c r="AW43" s="5"/>
      <c r="AX43" s="5"/>
      <c r="AY43" s="5"/>
      <c r="BA43" s="5"/>
      <c r="BB43" s="5"/>
      <c r="BC43" s="5"/>
      <c r="BD43" s="5"/>
      <c r="BE43" s="5"/>
      <c r="BF43" s="5"/>
      <c r="BH43" s="5"/>
      <c r="BI43" s="5"/>
      <c r="BJ43" s="5"/>
      <c r="BK43" s="5"/>
      <c r="BL43" s="5"/>
      <c r="BM43" s="5"/>
      <c r="BO43" s="5"/>
      <c r="BP43" s="5"/>
      <c r="BQ43" s="5"/>
      <c r="BR43" s="5"/>
      <c r="BS43" s="5"/>
      <c r="BU43" s="4"/>
      <c r="BV43" s="4"/>
      <c r="BW43" s="4"/>
      <c r="BX43" s="4"/>
    </row>
    <row r="44" spans="1:110" ht="15.75" customHeight="1">
      <c r="D44" s="5"/>
      <c r="E44" s="5"/>
      <c r="F44" s="5"/>
      <c r="G44" s="5"/>
      <c r="H44" s="5"/>
      <c r="I44" s="5"/>
      <c r="K44" s="5"/>
      <c r="L44" s="5"/>
      <c r="M44" s="5"/>
      <c r="N44" s="5"/>
      <c r="O44" s="5"/>
      <c r="P44" s="5"/>
      <c r="R44" s="5"/>
      <c r="S44" s="5"/>
      <c r="T44" s="5"/>
      <c r="U44" s="5"/>
      <c r="V44" s="5"/>
      <c r="W44" s="5"/>
      <c r="Y44" s="5"/>
      <c r="Z44" s="5"/>
      <c r="AA44" s="5"/>
      <c r="AB44" s="5"/>
      <c r="AC44" s="5"/>
      <c r="AD44" s="5"/>
      <c r="AF44" s="5"/>
      <c r="AG44" s="5"/>
      <c r="AH44" s="5"/>
      <c r="AI44" s="5"/>
      <c r="AJ44" s="5"/>
      <c r="AK44" s="5"/>
      <c r="AM44" s="5"/>
      <c r="AN44" s="5"/>
      <c r="AO44" s="5"/>
      <c r="AP44" s="5"/>
      <c r="AQ44" s="5"/>
      <c r="AR44" s="5"/>
      <c r="AT44" s="5"/>
      <c r="AU44" s="5"/>
      <c r="AV44" s="5"/>
      <c r="AW44" s="5"/>
      <c r="AX44" s="5"/>
      <c r="AY44" s="5"/>
      <c r="BA44" s="5"/>
      <c r="BB44" s="5"/>
      <c r="BC44" s="5"/>
      <c r="BD44" s="5"/>
      <c r="BE44" s="5"/>
      <c r="BF44" s="5"/>
      <c r="BH44" s="5"/>
      <c r="BI44" s="5"/>
      <c r="BJ44" s="5"/>
      <c r="BK44" s="5"/>
      <c r="BL44" s="5"/>
      <c r="BM44" s="5"/>
      <c r="BO44" s="5"/>
      <c r="BP44" s="5"/>
      <c r="BQ44" s="5"/>
      <c r="BR44" s="5"/>
      <c r="BS44" s="5"/>
      <c r="BU44" s="4"/>
      <c r="BV44" s="4"/>
      <c r="BW44" s="4"/>
      <c r="BX44" s="4"/>
    </row>
    <row r="45" spans="1:110" ht="15.75" customHeight="1">
      <c r="D45" s="5"/>
      <c r="E45" s="5"/>
      <c r="F45" s="5"/>
      <c r="G45" s="5"/>
      <c r="H45" s="5"/>
      <c r="I45" s="5"/>
      <c r="K45" s="5"/>
      <c r="L45" s="5"/>
      <c r="M45" s="5"/>
      <c r="N45" s="5"/>
      <c r="O45" s="5"/>
      <c r="P45" s="5"/>
      <c r="R45" s="5"/>
      <c r="S45" s="5"/>
      <c r="T45" s="5"/>
      <c r="U45" s="5"/>
      <c r="V45" s="5"/>
      <c r="W45" s="5"/>
      <c r="Y45" s="5"/>
      <c r="Z45" s="5"/>
      <c r="AA45" s="5"/>
      <c r="AB45" s="5"/>
      <c r="AC45" s="5"/>
      <c r="AD45" s="5"/>
      <c r="AF45" s="5"/>
      <c r="AG45" s="5"/>
      <c r="AH45" s="5"/>
      <c r="AI45" s="5"/>
      <c r="AJ45" s="5"/>
      <c r="AK45" s="5"/>
      <c r="AM45" s="5"/>
      <c r="AN45" s="5"/>
      <c r="AO45" s="5"/>
      <c r="AP45" s="5"/>
      <c r="AQ45" s="5"/>
      <c r="AR45" s="5"/>
      <c r="AT45" s="5"/>
      <c r="AU45" s="5"/>
      <c r="AV45" s="5"/>
      <c r="AW45" s="5"/>
      <c r="AX45" s="5"/>
      <c r="AY45" s="5"/>
      <c r="BA45" s="5"/>
      <c r="BB45" s="5"/>
      <c r="BC45" s="5"/>
      <c r="BD45" s="5"/>
      <c r="BE45" s="5"/>
      <c r="BF45" s="5"/>
      <c r="BH45" s="5"/>
      <c r="BI45" s="5"/>
      <c r="BJ45" s="5"/>
      <c r="BK45" s="5"/>
      <c r="BL45" s="5"/>
      <c r="BM45" s="5"/>
      <c r="BO45" s="5"/>
      <c r="BP45" s="5"/>
      <c r="BQ45" s="5"/>
      <c r="BR45" s="5"/>
      <c r="BS45" s="5"/>
      <c r="BU45" s="4"/>
      <c r="BV45" s="4"/>
      <c r="BW45" s="4"/>
      <c r="BX45" s="4"/>
    </row>
    <row r="46" spans="1:110" ht="15.75" customHeight="1">
      <c r="D46" s="5"/>
      <c r="E46" s="5"/>
      <c r="F46" s="5"/>
      <c r="G46" s="5"/>
      <c r="H46" s="5"/>
      <c r="I46" s="5"/>
      <c r="K46" s="5"/>
      <c r="L46" s="5"/>
      <c r="M46" s="5"/>
      <c r="N46" s="5"/>
      <c r="O46" s="5"/>
      <c r="P46" s="5"/>
      <c r="R46" s="5"/>
      <c r="S46" s="5"/>
      <c r="T46" s="5"/>
      <c r="U46" s="5"/>
      <c r="V46" s="5"/>
      <c r="W46" s="5"/>
      <c r="Y46" s="5"/>
      <c r="Z46" s="5"/>
      <c r="AA46" s="5"/>
      <c r="AB46" s="5"/>
      <c r="AC46" s="5"/>
      <c r="AD46" s="5"/>
      <c r="AF46" s="5"/>
      <c r="AG46" s="5"/>
      <c r="AH46" s="5"/>
      <c r="AI46" s="5"/>
      <c r="AJ46" s="5"/>
      <c r="AK46" s="5"/>
      <c r="AM46" s="5"/>
      <c r="AN46" s="5"/>
      <c r="AO46" s="5"/>
      <c r="AP46" s="5"/>
      <c r="AQ46" s="5"/>
      <c r="AR46" s="5"/>
      <c r="AT46" s="5"/>
      <c r="AU46" s="5"/>
      <c r="AV46" s="5"/>
      <c r="AW46" s="5"/>
      <c r="AX46" s="5"/>
      <c r="AY46" s="5"/>
      <c r="BA46" s="5"/>
      <c r="BB46" s="5"/>
      <c r="BC46" s="5"/>
      <c r="BD46" s="5"/>
      <c r="BE46" s="5"/>
      <c r="BF46" s="5"/>
      <c r="BH46" s="5"/>
      <c r="BI46" s="5"/>
      <c r="BJ46" s="5"/>
      <c r="BK46" s="5"/>
      <c r="BL46" s="5"/>
      <c r="BM46" s="5"/>
      <c r="BO46" s="5"/>
      <c r="BP46" s="5"/>
      <c r="BQ46" s="5"/>
      <c r="BR46" s="5"/>
      <c r="BS46" s="5"/>
      <c r="BU46" s="4"/>
      <c r="BV46" s="4"/>
      <c r="BW46" s="4"/>
      <c r="BX46" s="4"/>
    </row>
    <row r="47" spans="1:110" ht="15.75" customHeight="1">
      <c r="D47" s="5"/>
      <c r="E47" s="5"/>
      <c r="F47" s="5"/>
      <c r="G47" s="5"/>
      <c r="H47" s="5"/>
      <c r="I47" s="5"/>
      <c r="K47" s="5"/>
      <c r="L47" s="5"/>
      <c r="M47" s="5"/>
      <c r="N47" s="5"/>
      <c r="O47" s="5"/>
      <c r="P47" s="5"/>
      <c r="R47" s="5"/>
      <c r="S47" s="5"/>
      <c r="T47" s="5"/>
      <c r="U47" s="5"/>
      <c r="V47" s="5"/>
      <c r="W47" s="5"/>
      <c r="Y47" s="5"/>
      <c r="Z47" s="5"/>
      <c r="AA47" s="5"/>
      <c r="AB47" s="5"/>
      <c r="AC47" s="5"/>
      <c r="AD47" s="5"/>
      <c r="AF47" s="5"/>
      <c r="AG47" s="5"/>
      <c r="AH47" s="5"/>
      <c r="AI47" s="5"/>
      <c r="AJ47" s="5"/>
      <c r="AK47" s="5"/>
      <c r="AM47" s="5"/>
      <c r="AN47" s="5"/>
      <c r="AO47" s="5"/>
      <c r="AP47" s="5"/>
      <c r="AQ47" s="5"/>
      <c r="AR47" s="5"/>
      <c r="AT47" s="5"/>
      <c r="AU47" s="5"/>
      <c r="AV47" s="5"/>
      <c r="AW47" s="5"/>
      <c r="AX47" s="5"/>
      <c r="AY47" s="5"/>
      <c r="BA47" s="5"/>
      <c r="BB47" s="5"/>
      <c r="BC47" s="5"/>
      <c r="BD47" s="5"/>
      <c r="BE47" s="5"/>
      <c r="BF47" s="5"/>
      <c r="BH47" s="5"/>
      <c r="BI47" s="5"/>
      <c r="BJ47" s="5"/>
      <c r="BK47" s="5"/>
      <c r="BL47" s="5"/>
      <c r="BM47" s="5"/>
      <c r="BO47" s="5"/>
      <c r="BP47" s="5"/>
      <c r="BQ47" s="5"/>
      <c r="BR47" s="5"/>
      <c r="BS47" s="5"/>
      <c r="BU47" s="4"/>
      <c r="BV47" s="4"/>
      <c r="BW47" s="4"/>
      <c r="BX47" s="4"/>
    </row>
    <row r="48" spans="1:110" ht="15.75" customHeight="1">
      <c r="D48" s="5"/>
      <c r="E48" s="5"/>
      <c r="F48" s="5"/>
      <c r="G48" s="5"/>
      <c r="H48" s="5"/>
      <c r="I48" s="5"/>
      <c r="K48" s="5"/>
      <c r="L48" s="5"/>
      <c r="M48" s="5"/>
      <c r="N48" s="5"/>
      <c r="O48" s="5"/>
      <c r="P48" s="5"/>
      <c r="R48" s="5"/>
      <c r="S48" s="5"/>
      <c r="T48" s="5"/>
      <c r="U48" s="5"/>
      <c r="V48" s="5"/>
      <c r="W48" s="5"/>
      <c r="Y48" s="5"/>
      <c r="Z48" s="5"/>
      <c r="AA48" s="5"/>
      <c r="AB48" s="5"/>
      <c r="AC48" s="5"/>
      <c r="AD48" s="5"/>
      <c r="AF48" s="5"/>
      <c r="AG48" s="5"/>
      <c r="AH48" s="5"/>
      <c r="AI48" s="5"/>
      <c r="AJ48" s="5"/>
      <c r="AK48" s="5"/>
      <c r="AM48" s="5"/>
      <c r="AN48" s="5"/>
      <c r="AO48" s="5"/>
      <c r="AP48" s="5"/>
      <c r="AQ48" s="5"/>
      <c r="AR48" s="5"/>
      <c r="AT48" s="5"/>
      <c r="AU48" s="5"/>
      <c r="AV48" s="5"/>
      <c r="AW48" s="5"/>
      <c r="AX48" s="5"/>
      <c r="AY48" s="5"/>
      <c r="BA48" s="5"/>
      <c r="BB48" s="5"/>
      <c r="BC48" s="5"/>
      <c r="BD48" s="5"/>
      <c r="BE48" s="5"/>
      <c r="BF48" s="5"/>
      <c r="BH48" s="5"/>
      <c r="BI48" s="5"/>
      <c r="BJ48" s="5"/>
      <c r="BK48" s="5"/>
      <c r="BL48" s="5"/>
      <c r="BM48" s="5"/>
      <c r="BO48" s="5"/>
      <c r="BP48" s="5"/>
      <c r="BQ48" s="5"/>
      <c r="BR48" s="5"/>
      <c r="BS48" s="5"/>
      <c r="BU48" s="4"/>
      <c r="BV48" s="4"/>
      <c r="BW48" s="4"/>
      <c r="BX48" s="4"/>
    </row>
    <row r="49" spans="1:76" ht="15.75" customHeight="1">
      <c r="D49" s="5"/>
      <c r="E49" s="5"/>
      <c r="F49" s="5"/>
      <c r="G49" s="5"/>
      <c r="H49" s="5"/>
      <c r="I49" s="5"/>
      <c r="K49" s="5"/>
      <c r="L49" s="5"/>
      <c r="M49" s="5"/>
      <c r="N49" s="5"/>
      <c r="O49" s="5"/>
      <c r="P49" s="5"/>
      <c r="R49" s="5"/>
      <c r="S49" s="5"/>
      <c r="T49" s="5"/>
      <c r="U49" s="5"/>
      <c r="V49" s="5"/>
      <c r="W49" s="5"/>
      <c r="Y49" s="5"/>
      <c r="Z49" s="5"/>
      <c r="AA49" s="5"/>
      <c r="AB49" s="5"/>
      <c r="AC49" s="5"/>
      <c r="AD49" s="5"/>
      <c r="AF49" s="5"/>
      <c r="AG49" s="5"/>
      <c r="AH49" s="5"/>
      <c r="AI49" s="5"/>
      <c r="AJ49" s="5"/>
      <c r="AK49" s="5"/>
      <c r="AM49" s="5"/>
      <c r="AN49" s="5"/>
      <c r="AO49" s="5"/>
      <c r="AP49" s="5"/>
      <c r="AQ49" s="5"/>
      <c r="AR49" s="5"/>
      <c r="AT49" s="5"/>
      <c r="AU49" s="5"/>
      <c r="AV49" s="5"/>
      <c r="AW49" s="5"/>
      <c r="AX49" s="5"/>
      <c r="AY49" s="5"/>
      <c r="BA49" s="5"/>
      <c r="BB49" s="5"/>
      <c r="BC49" s="5"/>
      <c r="BD49" s="5"/>
      <c r="BE49" s="5"/>
      <c r="BF49" s="5"/>
      <c r="BH49" s="5"/>
      <c r="BI49" s="5"/>
      <c r="BJ49" s="5"/>
      <c r="BK49" s="5"/>
      <c r="BL49" s="5"/>
      <c r="BM49" s="5"/>
      <c r="BO49" s="5"/>
      <c r="BP49" s="5"/>
      <c r="BQ49" s="5"/>
      <c r="BR49" s="5"/>
      <c r="BS49" s="5"/>
      <c r="BU49" s="4"/>
      <c r="BV49" s="4"/>
      <c r="BW49" s="4"/>
      <c r="BX49" s="4"/>
    </row>
    <row r="50" spans="1:76" ht="15.75" customHeight="1">
      <c r="D50" s="5"/>
      <c r="E50" s="5"/>
      <c r="F50" s="5"/>
      <c r="G50" s="5"/>
      <c r="H50" s="5"/>
      <c r="I50" s="5"/>
      <c r="K50" s="5"/>
      <c r="L50" s="5"/>
      <c r="M50" s="5"/>
      <c r="N50" s="5"/>
      <c r="O50" s="5"/>
      <c r="P50" s="5"/>
      <c r="R50" s="5"/>
      <c r="S50" s="5"/>
      <c r="T50" s="5"/>
      <c r="U50" s="5"/>
      <c r="V50" s="5"/>
      <c r="W50" s="5"/>
      <c r="Y50" s="5"/>
      <c r="Z50" s="5"/>
      <c r="AA50" s="5"/>
      <c r="AB50" s="5"/>
      <c r="AC50" s="5"/>
      <c r="AD50" s="5"/>
      <c r="AF50" s="5"/>
      <c r="AG50" s="5"/>
      <c r="AH50" s="5"/>
      <c r="AI50" s="5"/>
      <c r="AJ50" s="5"/>
      <c r="AK50" s="5"/>
      <c r="AM50" s="5"/>
      <c r="AN50" s="5"/>
      <c r="AO50" s="5"/>
      <c r="AP50" s="5"/>
      <c r="AQ50" s="5"/>
      <c r="AR50" s="5"/>
      <c r="AT50" s="5"/>
      <c r="AU50" s="5"/>
      <c r="AV50" s="5"/>
      <c r="AW50" s="5"/>
      <c r="AX50" s="5"/>
      <c r="AY50" s="5"/>
      <c r="BA50" s="5"/>
      <c r="BB50" s="5"/>
      <c r="BC50" s="5"/>
      <c r="BD50" s="5"/>
      <c r="BE50" s="5"/>
      <c r="BF50" s="5"/>
      <c r="BH50" s="5"/>
      <c r="BI50" s="5"/>
      <c r="BJ50" s="5"/>
      <c r="BK50" s="5"/>
      <c r="BL50" s="5"/>
      <c r="BM50" s="5"/>
      <c r="BO50" s="5"/>
      <c r="BP50" s="5"/>
      <c r="BQ50" s="5"/>
      <c r="BR50" s="5"/>
      <c r="BS50" s="5"/>
      <c r="BU50" s="4"/>
      <c r="BV50" s="4"/>
      <c r="BW50" s="4"/>
      <c r="BX50" s="4"/>
    </row>
    <row r="51" spans="1:76" ht="15.75" customHeight="1">
      <c r="D51" s="5"/>
      <c r="E51" s="5"/>
      <c r="F51" s="5"/>
      <c r="G51" s="5"/>
      <c r="H51" s="5"/>
      <c r="I51" s="5"/>
      <c r="K51" s="5"/>
      <c r="L51" s="5"/>
      <c r="M51" s="5"/>
      <c r="N51" s="5"/>
      <c r="O51" s="5"/>
      <c r="P51" s="5"/>
      <c r="R51" s="5"/>
      <c r="S51" s="5"/>
      <c r="T51" s="5"/>
      <c r="U51" s="5"/>
      <c r="V51" s="5"/>
      <c r="W51" s="5"/>
      <c r="Y51" s="5"/>
      <c r="Z51" s="5"/>
      <c r="AA51" s="5"/>
      <c r="AB51" s="5"/>
      <c r="AC51" s="5"/>
      <c r="AD51" s="5"/>
      <c r="AF51" s="5"/>
      <c r="AG51" s="5"/>
      <c r="AH51" s="5"/>
      <c r="AI51" s="5"/>
      <c r="AJ51" s="5"/>
      <c r="AK51" s="5"/>
      <c r="AM51" s="5"/>
      <c r="AN51" s="5"/>
      <c r="AO51" s="5"/>
      <c r="AP51" s="5"/>
      <c r="AQ51" s="5"/>
      <c r="AR51" s="5"/>
      <c r="AT51" s="5"/>
      <c r="AU51" s="5"/>
      <c r="AV51" s="5"/>
      <c r="AW51" s="5"/>
      <c r="AX51" s="5"/>
      <c r="AY51" s="5"/>
      <c r="BA51" s="5"/>
      <c r="BB51" s="5"/>
      <c r="BC51" s="5"/>
      <c r="BD51" s="5"/>
      <c r="BE51" s="5"/>
      <c r="BF51" s="5"/>
      <c r="BH51" s="5"/>
      <c r="BI51" s="5"/>
      <c r="BJ51" s="5"/>
      <c r="BK51" s="5"/>
      <c r="BL51" s="5"/>
      <c r="BM51" s="5"/>
      <c r="BO51" s="5"/>
      <c r="BP51" s="5"/>
      <c r="BQ51" s="5"/>
      <c r="BR51" s="5"/>
      <c r="BS51" s="5"/>
      <c r="BU51" s="4"/>
      <c r="BV51" s="4"/>
      <c r="BW51" s="4"/>
      <c r="BX51" s="4"/>
    </row>
    <row r="52" spans="1:76" ht="15.75" customHeight="1">
      <c r="D52" s="5"/>
      <c r="E52" s="5"/>
      <c r="F52" s="5"/>
      <c r="G52" s="5"/>
      <c r="H52" s="5"/>
      <c r="I52" s="5"/>
      <c r="K52" s="5"/>
      <c r="L52" s="5"/>
      <c r="M52" s="5"/>
      <c r="N52" s="5"/>
      <c r="O52" s="5"/>
      <c r="P52" s="5"/>
      <c r="R52" s="5"/>
      <c r="S52" s="5"/>
      <c r="T52" s="5"/>
      <c r="U52" s="5"/>
      <c r="V52" s="5"/>
      <c r="W52" s="5"/>
      <c r="Y52" s="5"/>
      <c r="Z52" s="5"/>
      <c r="AA52" s="5"/>
      <c r="AB52" s="5"/>
      <c r="AC52" s="5"/>
      <c r="AD52" s="5"/>
      <c r="AF52" s="5"/>
      <c r="AG52" s="5"/>
      <c r="AH52" s="5"/>
      <c r="AI52" s="5"/>
      <c r="AJ52" s="5"/>
      <c r="AK52" s="5"/>
      <c r="AM52" s="5"/>
      <c r="AN52" s="5"/>
      <c r="AO52" s="5"/>
      <c r="AP52" s="5"/>
      <c r="AQ52" s="5"/>
      <c r="AR52" s="5"/>
      <c r="AT52" s="5"/>
      <c r="AU52" s="5"/>
      <c r="AV52" s="5"/>
      <c r="AW52" s="5"/>
      <c r="AX52" s="5"/>
      <c r="AY52" s="5"/>
      <c r="BA52" s="5"/>
      <c r="BB52" s="5"/>
      <c r="BC52" s="5"/>
      <c r="BD52" s="5"/>
      <c r="BE52" s="5"/>
      <c r="BF52" s="5"/>
      <c r="BH52" s="5"/>
      <c r="BI52" s="5"/>
      <c r="BJ52" s="5"/>
      <c r="BK52" s="5"/>
      <c r="BL52" s="5"/>
      <c r="BM52" s="5"/>
      <c r="BO52" s="5"/>
      <c r="BP52" s="5"/>
      <c r="BQ52" s="5"/>
      <c r="BR52" s="5"/>
      <c r="BS52" s="5"/>
      <c r="BU52" s="4"/>
      <c r="BV52" s="4"/>
      <c r="BW52" s="4"/>
      <c r="BX52" s="4"/>
    </row>
    <row r="53" spans="1:76" ht="15.75" customHeight="1">
      <c r="D53" s="5"/>
      <c r="E53" s="5"/>
      <c r="F53" s="5"/>
      <c r="G53" s="5"/>
      <c r="H53" s="5"/>
      <c r="I53" s="5"/>
      <c r="K53" s="5"/>
      <c r="L53" s="5"/>
      <c r="M53" s="5"/>
      <c r="N53" s="5"/>
      <c r="O53" s="5"/>
      <c r="P53" s="5"/>
      <c r="R53" s="5"/>
      <c r="S53" s="5"/>
      <c r="T53" s="5"/>
      <c r="U53" s="5"/>
      <c r="V53" s="5"/>
      <c r="W53" s="5"/>
      <c r="Y53" s="5"/>
      <c r="Z53" s="5"/>
      <c r="AA53" s="5"/>
      <c r="AB53" s="5"/>
      <c r="AC53" s="5"/>
      <c r="AD53" s="5"/>
      <c r="AF53" s="5"/>
      <c r="AG53" s="5"/>
      <c r="AH53" s="5"/>
      <c r="AI53" s="5"/>
      <c r="AJ53" s="5"/>
      <c r="AK53" s="5"/>
      <c r="AM53" s="5"/>
      <c r="AN53" s="5"/>
      <c r="AO53" s="5"/>
      <c r="AP53" s="5"/>
      <c r="AQ53" s="5"/>
      <c r="AR53" s="5"/>
      <c r="AT53" s="5"/>
      <c r="AU53" s="5"/>
      <c r="AV53" s="5"/>
      <c r="AW53" s="5"/>
      <c r="AX53" s="5"/>
      <c r="AY53" s="5"/>
      <c r="BA53" s="5"/>
      <c r="BB53" s="5"/>
      <c r="BC53" s="5"/>
      <c r="BD53" s="5"/>
      <c r="BE53" s="5"/>
      <c r="BF53" s="5"/>
      <c r="BH53" s="5"/>
      <c r="BI53" s="5"/>
      <c r="BJ53" s="5"/>
      <c r="BK53" s="5"/>
      <c r="BL53" s="5"/>
      <c r="BM53" s="5"/>
      <c r="BO53" s="5"/>
      <c r="BP53" s="5"/>
      <c r="BQ53" s="5"/>
      <c r="BR53" s="5"/>
      <c r="BS53" s="5"/>
      <c r="BU53" s="4"/>
      <c r="BV53" s="4"/>
      <c r="BW53" s="4"/>
      <c r="BX53" s="4"/>
    </row>
    <row r="54" spans="1:76" ht="15.75" customHeight="1">
      <c r="D54" s="5"/>
      <c r="E54" s="5"/>
      <c r="F54" s="5"/>
      <c r="G54" s="5"/>
      <c r="H54" s="5"/>
      <c r="I54" s="5"/>
      <c r="K54" s="5"/>
      <c r="L54" s="5"/>
      <c r="M54" s="5"/>
      <c r="N54" s="5"/>
      <c r="O54" s="5"/>
      <c r="P54" s="5"/>
      <c r="R54" s="5"/>
      <c r="S54" s="5"/>
      <c r="T54" s="5"/>
      <c r="U54" s="5"/>
      <c r="V54" s="5"/>
      <c r="W54" s="5"/>
      <c r="Y54" s="5"/>
      <c r="Z54" s="5"/>
      <c r="AA54" s="5"/>
      <c r="AB54" s="5"/>
      <c r="AC54" s="5"/>
      <c r="AD54" s="5"/>
      <c r="AF54" s="5"/>
      <c r="AG54" s="5"/>
      <c r="AH54" s="5"/>
      <c r="AI54" s="5"/>
      <c r="AJ54" s="5"/>
      <c r="AK54" s="5"/>
      <c r="AM54" s="5"/>
      <c r="AN54" s="5"/>
      <c r="AO54" s="5"/>
      <c r="AP54" s="5"/>
      <c r="AQ54" s="5"/>
      <c r="AR54" s="5"/>
      <c r="AT54" s="5"/>
      <c r="AU54" s="5"/>
      <c r="AV54" s="5"/>
      <c r="AW54" s="5"/>
      <c r="AX54" s="5"/>
      <c r="AY54" s="5"/>
      <c r="BA54" s="5"/>
      <c r="BB54" s="5"/>
      <c r="BC54" s="5"/>
      <c r="BD54" s="5"/>
      <c r="BE54" s="5"/>
      <c r="BF54" s="5"/>
      <c r="BH54" s="5"/>
      <c r="BI54" s="5"/>
      <c r="BJ54" s="5"/>
      <c r="BK54" s="5"/>
      <c r="BL54" s="5"/>
      <c r="BM54" s="5"/>
      <c r="BO54" s="5"/>
      <c r="BP54" s="5"/>
      <c r="BQ54" s="5"/>
      <c r="BR54" s="5"/>
      <c r="BS54" s="5"/>
      <c r="BU54" s="4"/>
      <c r="BV54" s="4"/>
      <c r="BW54" s="4"/>
      <c r="BX54" s="4"/>
    </row>
    <row r="55" spans="1:76" ht="15.75" customHeight="1">
      <c r="D55" s="5"/>
      <c r="E55" s="5"/>
      <c r="F55" s="5"/>
      <c r="G55" s="5"/>
      <c r="H55" s="5"/>
      <c r="I55" s="5"/>
      <c r="K55" s="5"/>
      <c r="L55" s="5"/>
      <c r="M55" s="5"/>
      <c r="N55" s="5"/>
      <c r="O55" s="5"/>
      <c r="P55" s="5"/>
      <c r="R55" s="5"/>
      <c r="S55" s="5"/>
      <c r="T55" s="5"/>
      <c r="U55" s="5"/>
      <c r="V55" s="5"/>
      <c r="W55" s="5"/>
      <c r="Y55" s="5"/>
      <c r="Z55" s="5"/>
      <c r="AA55" s="5"/>
      <c r="AB55" s="5"/>
      <c r="AC55" s="5"/>
      <c r="AD55" s="5"/>
      <c r="AF55" s="5"/>
      <c r="AG55" s="5"/>
      <c r="AH55" s="5"/>
      <c r="AI55" s="5"/>
      <c r="AJ55" s="5"/>
      <c r="AK55" s="5"/>
      <c r="AM55" s="5"/>
      <c r="AN55" s="5"/>
      <c r="AO55" s="5"/>
      <c r="AP55" s="5"/>
      <c r="AQ55" s="5"/>
      <c r="AR55" s="5"/>
      <c r="AT55" s="5"/>
      <c r="AU55" s="5"/>
      <c r="AV55" s="5"/>
      <c r="AW55" s="5"/>
      <c r="AX55" s="5"/>
      <c r="AY55" s="5"/>
      <c r="BA55" s="5"/>
      <c r="BB55" s="5"/>
      <c r="BC55" s="5"/>
      <c r="BD55" s="5"/>
      <c r="BE55" s="5"/>
      <c r="BF55" s="5"/>
      <c r="BH55" s="5"/>
      <c r="BI55" s="5"/>
      <c r="BJ55" s="5"/>
      <c r="BK55" s="5"/>
      <c r="BL55" s="5"/>
      <c r="BM55" s="5"/>
      <c r="BO55" s="5"/>
      <c r="BP55" s="5"/>
      <c r="BQ55" s="5"/>
      <c r="BR55" s="5"/>
      <c r="BS55" s="5"/>
      <c r="BU55" s="4"/>
      <c r="BV55" s="4"/>
      <c r="BW55" s="4"/>
      <c r="BX55" s="4"/>
    </row>
    <row r="56" spans="1:76" ht="15.75" customHeight="1">
      <c r="D56" s="5"/>
      <c r="E56" s="5"/>
      <c r="F56" s="5"/>
      <c r="G56" s="5"/>
      <c r="H56" s="5"/>
      <c r="I56" s="5"/>
      <c r="K56" s="5"/>
      <c r="L56" s="5"/>
      <c r="M56" s="5"/>
      <c r="N56" s="5"/>
      <c r="O56" s="5"/>
      <c r="P56" s="5"/>
      <c r="R56" s="5"/>
      <c r="S56" s="5"/>
      <c r="T56" s="5"/>
      <c r="U56" s="5"/>
      <c r="V56" s="5"/>
      <c r="W56" s="5"/>
      <c r="Y56" s="5"/>
      <c r="Z56" s="5"/>
      <c r="AA56" s="5"/>
      <c r="AB56" s="5"/>
      <c r="AC56" s="5"/>
      <c r="AD56" s="5"/>
      <c r="AF56" s="5"/>
      <c r="AG56" s="5"/>
      <c r="AH56" s="5"/>
      <c r="AI56" s="5"/>
      <c r="AJ56" s="5"/>
      <c r="AK56" s="5"/>
      <c r="AM56" s="5"/>
      <c r="AN56" s="5"/>
      <c r="AO56" s="5"/>
      <c r="AP56" s="5"/>
      <c r="AQ56" s="5"/>
      <c r="AR56" s="5"/>
      <c r="AT56" s="5"/>
      <c r="AU56" s="5"/>
      <c r="AV56" s="5"/>
      <c r="AW56" s="5"/>
      <c r="AX56" s="5"/>
      <c r="AY56" s="5"/>
      <c r="BA56" s="5"/>
      <c r="BB56" s="5"/>
      <c r="BC56" s="5"/>
      <c r="BD56" s="5"/>
      <c r="BE56" s="5"/>
      <c r="BF56" s="5"/>
      <c r="BH56" s="5"/>
      <c r="BI56" s="5"/>
      <c r="BJ56" s="5"/>
      <c r="BK56" s="5"/>
      <c r="BL56" s="5"/>
      <c r="BM56" s="5"/>
      <c r="BO56" s="5"/>
      <c r="BP56" s="5"/>
      <c r="BQ56" s="5"/>
      <c r="BR56" s="5"/>
      <c r="BS56" s="5"/>
      <c r="BU56" s="4"/>
      <c r="BV56" s="4"/>
      <c r="BW56" s="4"/>
      <c r="BX56" s="4"/>
    </row>
    <row r="57" spans="1:76" ht="15.75" customHeight="1">
      <c r="D57" s="5"/>
      <c r="E57" s="5"/>
      <c r="F57" s="5"/>
      <c r="G57" s="5"/>
      <c r="H57" s="5"/>
      <c r="I57" s="5"/>
      <c r="K57" s="5"/>
      <c r="L57" s="5"/>
      <c r="M57" s="5"/>
      <c r="N57" s="5"/>
      <c r="O57" s="5"/>
      <c r="P57" s="5"/>
      <c r="R57" s="5"/>
      <c r="S57" s="5"/>
      <c r="T57" s="5"/>
      <c r="U57" s="5"/>
      <c r="V57" s="5"/>
      <c r="W57" s="5"/>
      <c r="Y57" s="5"/>
      <c r="Z57" s="5"/>
      <c r="AA57" s="5"/>
      <c r="AB57" s="5"/>
      <c r="AC57" s="5"/>
      <c r="AD57" s="5"/>
      <c r="AF57" s="5"/>
      <c r="AG57" s="5"/>
      <c r="AH57" s="5"/>
      <c r="AI57" s="5"/>
      <c r="AJ57" s="5"/>
      <c r="AK57" s="5"/>
      <c r="AM57" s="5"/>
      <c r="AN57" s="5"/>
      <c r="AO57" s="5"/>
      <c r="AP57" s="5"/>
      <c r="AQ57" s="5"/>
      <c r="AR57" s="5"/>
      <c r="AT57" s="5"/>
      <c r="AU57" s="5"/>
      <c r="AV57" s="5"/>
      <c r="AW57" s="5"/>
      <c r="AX57" s="5"/>
      <c r="AY57" s="5"/>
      <c r="BA57" s="5"/>
      <c r="BB57" s="5"/>
      <c r="BC57" s="5"/>
      <c r="BD57" s="5"/>
      <c r="BE57" s="5"/>
      <c r="BF57" s="5"/>
      <c r="BH57" s="5"/>
      <c r="BI57" s="5"/>
      <c r="BJ57" s="5"/>
      <c r="BK57" s="5"/>
      <c r="BL57" s="5"/>
      <c r="BM57" s="5"/>
      <c r="BO57" s="5"/>
      <c r="BP57" s="5"/>
      <c r="BQ57" s="5"/>
      <c r="BR57" s="5"/>
      <c r="BS57" s="5"/>
      <c r="BU57" s="4"/>
      <c r="BV57" s="4"/>
      <c r="BW57" s="4"/>
      <c r="BX57" s="4"/>
    </row>
    <row r="58" spans="1:76" ht="15.75" customHeight="1">
      <c r="D58" s="5"/>
      <c r="E58" s="5"/>
      <c r="F58" s="5"/>
      <c r="G58" s="5"/>
      <c r="H58" s="5"/>
      <c r="I58" s="5"/>
      <c r="K58" s="5"/>
      <c r="L58" s="5"/>
      <c r="M58" s="5"/>
      <c r="N58" s="5"/>
      <c r="O58" s="5"/>
      <c r="P58" s="5"/>
      <c r="R58" s="5"/>
      <c r="S58" s="5"/>
      <c r="T58" s="5"/>
      <c r="U58" s="5"/>
      <c r="V58" s="5"/>
      <c r="W58" s="5"/>
      <c r="Y58" s="5"/>
      <c r="Z58" s="5"/>
      <c r="AA58" s="5"/>
      <c r="AB58" s="5"/>
      <c r="AC58" s="5"/>
      <c r="AD58" s="5"/>
      <c r="AF58" s="5"/>
      <c r="AG58" s="5"/>
      <c r="AH58" s="5"/>
      <c r="AI58" s="5"/>
      <c r="AJ58" s="5"/>
      <c r="AK58" s="5"/>
      <c r="AM58" s="5"/>
      <c r="AN58" s="5"/>
      <c r="AO58" s="5"/>
      <c r="AP58" s="5"/>
      <c r="AQ58" s="5"/>
      <c r="AR58" s="5"/>
      <c r="AT58" s="5"/>
      <c r="AU58" s="5"/>
      <c r="AV58" s="5"/>
      <c r="AW58" s="5"/>
      <c r="AX58" s="5"/>
      <c r="AY58" s="5"/>
      <c r="BA58" s="5"/>
      <c r="BB58" s="5"/>
      <c r="BC58" s="5"/>
      <c r="BD58" s="5"/>
      <c r="BE58" s="5"/>
      <c r="BF58" s="5"/>
      <c r="BH58" s="5"/>
      <c r="BI58" s="5"/>
      <c r="BJ58" s="5"/>
      <c r="BK58" s="5"/>
      <c r="BL58" s="5"/>
      <c r="BM58" s="5"/>
      <c r="BO58" s="5"/>
      <c r="BP58" s="5"/>
      <c r="BQ58" s="5"/>
      <c r="BR58" s="5"/>
      <c r="BS58" s="5"/>
      <c r="BU58" s="4"/>
      <c r="BV58" s="4"/>
      <c r="BW58" s="4"/>
      <c r="BX58" s="4"/>
    </row>
    <row r="59" spans="1:76" ht="15.75" customHeight="1">
      <c r="D59" s="5"/>
      <c r="E59" s="5"/>
      <c r="F59" s="5"/>
      <c r="G59" s="5"/>
      <c r="H59" s="5"/>
      <c r="I59" s="5"/>
      <c r="K59" s="5"/>
      <c r="L59" s="5"/>
      <c r="M59" s="5"/>
      <c r="N59" s="5"/>
      <c r="O59" s="5"/>
      <c r="P59" s="5"/>
      <c r="R59" s="5"/>
      <c r="S59" s="5"/>
      <c r="T59" s="5"/>
      <c r="U59" s="5"/>
      <c r="V59" s="5"/>
      <c r="W59" s="5"/>
      <c r="Y59" s="5"/>
      <c r="Z59" s="5"/>
      <c r="AA59" s="5"/>
      <c r="AB59" s="5"/>
      <c r="AC59" s="5"/>
      <c r="AD59" s="5"/>
      <c r="AF59" s="5"/>
      <c r="AG59" s="5"/>
      <c r="AH59" s="5"/>
      <c r="AI59" s="5"/>
      <c r="AJ59" s="5"/>
      <c r="AK59" s="5"/>
      <c r="AM59" s="5"/>
      <c r="AN59" s="5"/>
      <c r="AO59" s="5"/>
      <c r="AP59" s="5"/>
      <c r="AQ59" s="5"/>
      <c r="AR59" s="5"/>
      <c r="AT59" s="5"/>
      <c r="AU59" s="5"/>
      <c r="AV59" s="5"/>
      <c r="AW59" s="5"/>
      <c r="AX59" s="5"/>
      <c r="AY59" s="5"/>
      <c r="BA59" s="5"/>
      <c r="BB59" s="5"/>
      <c r="BC59" s="5"/>
      <c r="BD59" s="5"/>
      <c r="BE59" s="5"/>
      <c r="BF59" s="5"/>
      <c r="BH59" s="5"/>
      <c r="BI59" s="5"/>
      <c r="BJ59" s="5"/>
      <c r="BK59" s="5"/>
      <c r="BL59" s="5"/>
      <c r="BM59" s="5"/>
      <c r="BO59" s="5"/>
      <c r="BP59" s="5"/>
      <c r="BQ59" s="5"/>
      <c r="BR59" s="5"/>
      <c r="BS59" s="5"/>
      <c r="BU59" s="4"/>
      <c r="BV59" s="4"/>
      <c r="BW59" s="4"/>
      <c r="BX59" s="4"/>
    </row>
    <row r="60" spans="1:76" ht="15.75" customHeight="1">
      <c r="D60" s="5"/>
      <c r="E60" s="5"/>
      <c r="F60" s="5"/>
      <c r="G60" s="5"/>
      <c r="H60" s="5"/>
      <c r="I60" s="5"/>
      <c r="K60" s="5"/>
      <c r="L60" s="5"/>
      <c r="M60" s="5"/>
      <c r="N60" s="5"/>
      <c r="O60" s="5"/>
      <c r="P60" s="5"/>
      <c r="R60" s="5"/>
      <c r="S60" s="5"/>
      <c r="T60" s="5"/>
      <c r="U60" s="5"/>
      <c r="V60" s="5"/>
      <c r="W60" s="5"/>
      <c r="Y60" s="5"/>
      <c r="Z60" s="5"/>
      <c r="AA60" s="5"/>
      <c r="AB60" s="5"/>
      <c r="AC60" s="5"/>
      <c r="AD60" s="5"/>
      <c r="AF60" s="5"/>
      <c r="AG60" s="5"/>
      <c r="AH60" s="5"/>
      <c r="AI60" s="5"/>
      <c r="AJ60" s="5"/>
      <c r="AK60" s="5"/>
      <c r="AM60" s="5"/>
      <c r="AN60" s="5"/>
      <c r="AO60" s="5"/>
      <c r="AP60" s="5"/>
      <c r="AQ60" s="5"/>
      <c r="AR60" s="5"/>
      <c r="AT60" s="5"/>
      <c r="AU60" s="5"/>
      <c r="AV60" s="5"/>
      <c r="AW60" s="5"/>
      <c r="AX60" s="5"/>
      <c r="AY60" s="5"/>
      <c r="BA60" s="5"/>
      <c r="BB60" s="5"/>
      <c r="BC60" s="5"/>
      <c r="BD60" s="5"/>
      <c r="BE60" s="5"/>
      <c r="BF60" s="5"/>
      <c r="BH60" s="5"/>
      <c r="BI60" s="5"/>
      <c r="BJ60" s="5"/>
      <c r="BK60" s="5"/>
      <c r="BL60" s="5"/>
      <c r="BM60" s="5"/>
      <c r="BO60" s="5"/>
      <c r="BP60" s="5"/>
      <c r="BQ60" s="5"/>
      <c r="BR60" s="5"/>
      <c r="BS60" s="5"/>
      <c r="BU60" s="4"/>
      <c r="BV60" s="4"/>
      <c r="BW60" s="4"/>
      <c r="BX60" s="4"/>
    </row>
    <row r="61" spans="1:76" ht="15.75" customHeight="1">
      <c r="D61" s="5"/>
      <c r="E61" s="5"/>
      <c r="F61" s="5"/>
      <c r="G61" s="5"/>
      <c r="H61" s="5"/>
      <c r="I61" s="5"/>
      <c r="K61" s="5"/>
      <c r="L61" s="5"/>
      <c r="M61" s="5"/>
      <c r="N61" s="5"/>
      <c r="O61" s="5"/>
      <c r="P61" s="5"/>
      <c r="R61" s="5"/>
      <c r="S61" s="5"/>
      <c r="T61" s="5"/>
      <c r="U61" s="5"/>
      <c r="V61" s="5"/>
      <c r="W61" s="5"/>
      <c r="Y61" s="5"/>
      <c r="Z61" s="5"/>
      <c r="AA61" s="5"/>
      <c r="AB61" s="5"/>
      <c r="AC61" s="5"/>
      <c r="AD61" s="5"/>
      <c r="AF61" s="5"/>
      <c r="AG61" s="5"/>
      <c r="AH61" s="5"/>
      <c r="AI61" s="5"/>
      <c r="AJ61" s="5"/>
      <c r="AK61" s="5"/>
      <c r="AM61" s="5"/>
      <c r="AN61" s="5"/>
      <c r="AO61" s="5"/>
      <c r="AP61" s="5"/>
      <c r="AQ61" s="5"/>
      <c r="AR61" s="5"/>
      <c r="AT61" s="5"/>
      <c r="AU61" s="5"/>
      <c r="AV61" s="5"/>
      <c r="AW61" s="5"/>
      <c r="AX61" s="5"/>
      <c r="AY61" s="5"/>
      <c r="BA61" s="5"/>
      <c r="BB61" s="5"/>
      <c r="BC61" s="5"/>
      <c r="BD61" s="5"/>
      <c r="BE61" s="5"/>
      <c r="BF61" s="5"/>
      <c r="BH61" s="5"/>
      <c r="BI61" s="5"/>
      <c r="BJ61" s="5"/>
      <c r="BK61" s="5"/>
      <c r="BL61" s="5"/>
      <c r="BM61" s="5"/>
      <c r="BO61" s="5"/>
      <c r="BP61" s="5"/>
      <c r="BQ61" s="5"/>
      <c r="BR61" s="5"/>
      <c r="BS61" s="5"/>
      <c r="BU61" s="4"/>
      <c r="BV61" s="4"/>
      <c r="BW61" s="4"/>
      <c r="BX61" s="4"/>
    </row>
    <row r="62" spans="1:76" ht="15.75" customHeight="1">
      <c r="A62" s="16"/>
      <c r="B62" s="17"/>
      <c r="D62" s="5"/>
      <c r="E62" s="5"/>
      <c r="F62" s="5"/>
      <c r="G62" s="5"/>
      <c r="H62" s="5"/>
      <c r="I62" s="5"/>
      <c r="K62" s="5"/>
      <c r="L62" s="5"/>
      <c r="M62" s="5"/>
      <c r="N62" s="5"/>
      <c r="O62" s="5"/>
      <c r="P62" s="5"/>
      <c r="R62" s="5"/>
      <c r="S62" s="5"/>
      <c r="T62" s="5"/>
      <c r="U62" s="5"/>
      <c r="V62" s="5"/>
      <c r="W62" s="5"/>
      <c r="Y62" s="5"/>
      <c r="Z62" s="5"/>
      <c r="AA62" s="5"/>
      <c r="AB62" s="5"/>
      <c r="AC62" s="5"/>
      <c r="AD62" s="5"/>
      <c r="AF62" s="5"/>
      <c r="AG62" s="5"/>
      <c r="AH62" s="5"/>
      <c r="AI62" s="5"/>
      <c r="AJ62" s="5"/>
      <c r="AK62" s="5"/>
      <c r="AM62" s="5"/>
      <c r="AN62" s="5"/>
      <c r="AO62" s="5"/>
      <c r="AP62" s="5"/>
      <c r="AQ62" s="5"/>
      <c r="AR62" s="5"/>
      <c r="AT62" s="5"/>
      <c r="AU62" s="5"/>
      <c r="AV62" s="5"/>
      <c r="AW62" s="5"/>
      <c r="AX62" s="5"/>
      <c r="AY62" s="5"/>
      <c r="BA62" s="5"/>
      <c r="BB62" s="5"/>
      <c r="BC62" s="5"/>
      <c r="BD62" s="5"/>
      <c r="BE62" s="5"/>
      <c r="BF62" s="5"/>
      <c r="BH62" s="5"/>
      <c r="BI62" s="5"/>
      <c r="BJ62" s="5"/>
      <c r="BK62" s="5"/>
      <c r="BL62" s="5"/>
      <c r="BM62" s="5"/>
      <c r="BO62" s="5"/>
      <c r="BP62" s="5"/>
      <c r="BQ62" s="5"/>
      <c r="BR62" s="5"/>
      <c r="BS62" s="5"/>
      <c r="BU62" s="4"/>
      <c r="BV62" s="4"/>
      <c r="BW62" s="4"/>
      <c r="BX62" s="4"/>
    </row>
    <row r="63" spans="1:76" ht="15.75" customHeight="1">
      <c r="A63" s="16"/>
      <c r="B63" s="17"/>
      <c r="D63" s="5"/>
      <c r="E63" s="5"/>
      <c r="F63" s="5"/>
      <c r="G63" s="5"/>
      <c r="H63" s="5"/>
      <c r="I63" s="5"/>
      <c r="K63" s="5"/>
      <c r="L63" s="5"/>
      <c r="M63" s="5"/>
      <c r="N63" s="5"/>
      <c r="O63" s="5"/>
      <c r="P63" s="5"/>
      <c r="R63" s="5"/>
      <c r="S63" s="5"/>
      <c r="T63" s="5"/>
      <c r="U63" s="5"/>
      <c r="V63" s="5"/>
      <c r="W63" s="5"/>
      <c r="Y63" s="5"/>
      <c r="Z63" s="5"/>
      <c r="AA63" s="5"/>
      <c r="AB63" s="5"/>
      <c r="AC63" s="5"/>
      <c r="AD63" s="5"/>
      <c r="AF63" s="5"/>
      <c r="AG63" s="5"/>
      <c r="AH63" s="5"/>
      <c r="AI63" s="5"/>
      <c r="AJ63" s="5"/>
      <c r="AK63" s="5"/>
      <c r="AM63" s="5"/>
      <c r="AN63" s="5"/>
      <c r="AO63" s="5"/>
      <c r="AP63" s="5"/>
      <c r="AQ63" s="5"/>
      <c r="AR63" s="5"/>
      <c r="AT63" s="5"/>
      <c r="AU63" s="5"/>
      <c r="AV63" s="5"/>
      <c r="AW63" s="5"/>
      <c r="AX63" s="5"/>
      <c r="AY63" s="5"/>
      <c r="BA63" s="5"/>
      <c r="BB63" s="5"/>
      <c r="BC63" s="5"/>
      <c r="BD63" s="5"/>
      <c r="BE63" s="5"/>
      <c r="BF63" s="5"/>
      <c r="BH63" s="5"/>
      <c r="BI63" s="5"/>
      <c r="BJ63" s="5"/>
      <c r="BK63" s="5"/>
      <c r="BL63" s="5"/>
      <c r="BM63" s="5"/>
      <c r="BO63" s="5"/>
      <c r="BP63" s="5"/>
      <c r="BQ63" s="5"/>
      <c r="BR63" s="5"/>
      <c r="BS63" s="5"/>
      <c r="BU63" s="4"/>
      <c r="BV63" s="4"/>
      <c r="BW63" s="4"/>
      <c r="BX63" s="4"/>
    </row>
    <row r="64" spans="1:76" ht="15.75" customHeight="1">
      <c r="A64" s="16"/>
      <c r="B64" s="17"/>
      <c r="D64" s="5"/>
      <c r="E64" s="5"/>
      <c r="F64" s="5"/>
      <c r="G64" s="5"/>
      <c r="H64" s="5"/>
      <c r="I64" s="5"/>
      <c r="K64" s="5"/>
      <c r="L64" s="5"/>
      <c r="M64" s="5"/>
      <c r="N64" s="5"/>
      <c r="O64" s="5"/>
      <c r="P64" s="5"/>
      <c r="R64" s="5"/>
      <c r="S64" s="5"/>
      <c r="T64" s="5"/>
      <c r="U64" s="5"/>
      <c r="V64" s="5"/>
      <c r="W64" s="5"/>
      <c r="Y64" s="5"/>
      <c r="Z64" s="5"/>
      <c r="AA64" s="5"/>
      <c r="AB64" s="5"/>
      <c r="AC64" s="5"/>
      <c r="AD64" s="5"/>
      <c r="AF64" s="5"/>
      <c r="AG64" s="5"/>
      <c r="AH64" s="5"/>
      <c r="AI64" s="5"/>
      <c r="AJ64" s="5"/>
      <c r="AK64" s="5"/>
      <c r="AM64" s="5"/>
      <c r="AN64" s="5"/>
      <c r="AO64" s="5"/>
      <c r="AP64" s="5"/>
      <c r="AQ64" s="5"/>
      <c r="AR64" s="5"/>
      <c r="AT64" s="5"/>
      <c r="AU64" s="5"/>
      <c r="AV64" s="5"/>
      <c r="AW64" s="5"/>
      <c r="AX64" s="5"/>
      <c r="AY64" s="5"/>
      <c r="BA64" s="5"/>
      <c r="BB64" s="5"/>
      <c r="BC64" s="5"/>
      <c r="BD64" s="5"/>
      <c r="BE64" s="5"/>
      <c r="BF64" s="5"/>
      <c r="BH64" s="5"/>
      <c r="BI64" s="5"/>
      <c r="BJ64" s="5"/>
      <c r="BK64" s="5"/>
      <c r="BL64" s="5"/>
      <c r="BM64" s="5"/>
      <c r="BO64" s="5"/>
      <c r="BP64" s="5"/>
      <c r="BQ64" s="5"/>
      <c r="BR64" s="5"/>
      <c r="BS64" s="5"/>
      <c r="BU64" s="4"/>
      <c r="BV64" s="4"/>
      <c r="BW64" s="4"/>
      <c r="BX64" s="4"/>
    </row>
    <row r="65" spans="1:76" ht="15.75" customHeight="1">
      <c r="A65" s="16"/>
      <c r="B65" s="17"/>
      <c r="D65" s="5"/>
      <c r="E65" s="5"/>
      <c r="F65" s="5"/>
      <c r="G65" s="5"/>
      <c r="H65" s="5"/>
      <c r="I65" s="5"/>
      <c r="K65" s="5"/>
      <c r="L65" s="5"/>
      <c r="M65" s="5"/>
      <c r="N65" s="5"/>
      <c r="O65" s="5"/>
      <c r="P65" s="5"/>
      <c r="R65" s="5"/>
      <c r="S65" s="5"/>
      <c r="T65" s="5"/>
      <c r="U65" s="5"/>
      <c r="V65" s="5"/>
      <c r="W65" s="5"/>
      <c r="Y65" s="5"/>
      <c r="Z65" s="5"/>
      <c r="AA65" s="5"/>
      <c r="AB65" s="5"/>
      <c r="AC65" s="5"/>
      <c r="AD65" s="5"/>
      <c r="AF65" s="5"/>
      <c r="AG65" s="5"/>
      <c r="AH65" s="5"/>
      <c r="AI65" s="5"/>
      <c r="AJ65" s="5"/>
      <c r="AK65" s="5"/>
      <c r="AM65" s="5"/>
      <c r="AN65" s="5"/>
      <c r="AO65" s="5"/>
      <c r="AP65" s="5"/>
      <c r="AQ65" s="5"/>
      <c r="AR65" s="5"/>
      <c r="AT65" s="5"/>
      <c r="AU65" s="5"/>
      <c r="AV65" s="5"/>
      <c r="AW65" s="5"/>
      <c r="AX65" s="5"/>
      <c r="AY65" s="5"/>
      <c r="BA65" s="5"/>
      <c r="BB65" s="5"/>
      <c r="BC65" s="5"/>
      <c r="BD65" s="5"/>
      <c r="BE65" s="5"/>
      <c r="BF65" s="5"/>
      <c r="BH65" s="5"/>
      <c r="BI65" s="5"/>
      <c r="BJ65" s="5"/>
      <c r="BK65" s="5"/>
      <c r="BL65" s="5"/>
      <c r="BM65" s="5"/>
      <c r="BO65" s="5"/>
      <c r="BP65" s="5"/>
      <c r="BQ65" s="5"/>
      <c r="BR65" s="5"/>
      <c r="BS65" s="5"/>
      <c r="BU65" s="4"/>
      <c r="BV65" s="4"/>
      <c r="BW65" s="4"/>
      <c r="BX65" s="4"/>
    </row>
    <row r="66" spans="1:76" ht="15.75" customHeight="1">
      <c r="A66" s="16"/>
      <c r="B66" s="17"/>
      <c r="D66" s="5"/>
      <c r="E66" s="5"/>
      <c r="F66" s="5"/>
      <c r="G66" s="5"/>
      <c r="H66" s="5"/>
      <c r="I66" s="5"/>
      <c r="K66" s="5"/>
      <c r="L66" s="5"/>
      <c r="M66" s="5"/>
      <c r="N66" s="5"/>
      <c r="O66" s="5"/>
      <c r="P66" s="5"/>
      <c r="R66" s="5"/>
      <c r="S66" s="5"/>
      <c r="T66" s="5"/>
      <c r="U66" s="5"/>
      <c r="V66" s="5"/>
      <c r="W66" s="5"/>
      <c r="Y66" s="5"/>
      <c r="Z66" s="5"/>
      <c r="AA66" s="5"/>
      <c r="AB66" s="5"/>
      <c r="AC66" s="5"/>
      <c r="AD66" s="5"/>
      <c r="AF66" s="5"/>
      <c r="AG66" s="5"/>
      <c r="AH66" s="5"/>
      <c r="AI66" s="5"/>
      <c r="AJ66" s="5"/>
      <c r="AK66" s="5"/>
      <c r="AM66" s="5"/>
      <c r="AN66" s="5"/>
      <c r="AO66" s="5"/>
      <c r="AP66" s="5"/>
      <c r="AQ66" s="5"/>
      <c r="AR66" s="5"/>
      <c r="AT66" s="5"/>
      <c r="AU66" s="5"/>
      <c r="AV66" s="5"/>
      <c r="AW66" s="5"/>
      <c r="AX66" s="5"/>
      <c r="AY66" s="5"/>
      <c r="BA66" s="5"/>
      <c r="BB66" s="5"/>
      <c r="BC66" s="5"/>
      <c r="BD66" s="5"/>
      <c r="BE66" s="5"/>
      <c r="BF66" s="5"/>
      <c r="BH66" s="5"/>
      <c r="BI66" s="5"/>
      <c r="BJ66" s="5"/>
      <c r="BK66" s="5"/>
      <c r="BL66" s="5"/>
      <c r="BM66" s="5"/>
      <c r="BO66" s="5"/>
      <c r="BP66" s="5"/>
      <c r="BQ66" s="5"/>
      <c r="BR66" s="5"/>
      <c r="BS66" s="5"/>
      <c r="BU66" s="4"/>
      <c r="BV66" s="4"/>
      <c r="BW66" s="4"/>
      <c r="BX66" s="4"/>
    </row>
    <row r="67" spans="1:76" ht="15.75" customHeight="1">
      <c r="A67" s="16"/>
      <c r="B67" s="17"/>
      <c r="D67" s="5"/>
      <c r="E67" s="5"/>
      <c r="F67" s="5"/>
      <c r="G67" s="5"/>
      <c r="H67" s="5"/>
      <c r="I67" s="5"/>
      <c r="K67" s="5"/>
      <c r="L67" s="5"/>
      <c r="M67" s="5"/>
      <c r="N67" s="5"/>
      <c r="O67" s="5"/>
      <c r="P67" s="5"/>
      <c r="R67" s="5"/>
      <c r="S67" s="5"/>
      <c r="T67" s="5"/>
      <c r="U67" s="5"/>
      <c r="V67" s="5"/>
      <c r="W67" s="5"/>
      <c r="Y67" s="5"/>
      <c r="Z67" s="5"/>
      <c r="AA67" s="5"/>
      <c r="AB67" s="5"/>
      <c r="AC67" s="5"/>
      <c r="AD67" s="5"/>
      <c r="AF67" s="5"/>
      <c r="AG67" s="5"/>
      <c r="AH67" s="5"/>
      <c r="AI67" s="5"/>
      <c r="AJ67" s="5"/>
      <c r="AK67" s="5"/>
      <c r="AM67" s="5"/>
      <c r="AN67" s="5"/>
      <c r="AO67" s="5"/>
      <c r="AP67" s="5"/>
      <c r="AQ67" s="5"/>
      <c r="AR67" s="5"/>
      <c r="AT67" s="5"/>
      <c r="AU67" s="5"/>
      <c r="AV67" s="5"/>
      <c r="AW67" s="5"/>
      <c r="AX67" s="5"/>
      <c r="AY67" s="5"/>
      <c r="BA67" s="5"/>
      <c r="BB67" s="5"/>
      <c r="BC67" s="5"/>
      <c r="BD67" s="5"/>
      <c r="BE67" s="5"/>
      <c r="BF67" s="5"/>
      <c r="BH67" s="5"/>
      <c r="BI67" s="5"/>
      <c r="BJ67" s="5"/>
      <c r="BK67" s="5"/>
      <c r="BL67" s="5"/>
      <c r="BM67" s="5"/>
      <c r="BO67" s="5"/>
      <c r="BP67" s="5"/>
      <c r="BQ67" s="5"/>
      <c r="BR67" s="5"/>
      <c r="BS67" s="5"/>
      <c r="BU67" s="4"/>
      <c r="BV67" s="4"/>
      <c r="BW67" s="4"/>
      <c r="BX67" s="4"/>
    </row>
    <row r="68" spans="1:76" ht="15.75" customHeight="1">
      <c r="A68" s="16"/>
      <c r="B68" s="17"/>
      <c r="D68" s="5"/>
      <c r="E68" s="5"/>
      <c r="F68" s="5"/>
      <c r="G68" s="5"/>
      <c r="H68" s="5"/>
      <c r="I68" s="5"/>
      <c r="K68" s="5"/>
      <c r="L68" s="5"/>
      <c r="M68" s="5"/>
      <c r="N68" s="5"/>
      <c r="O68" s="5"/>
      <c r="P68" s="5"/>
      <c r="R68" s="5"/>
      <c r="S68" s="5"/>
      <c r="T68" s="5"/>
      <c r="U68" s="5"/>
      <c r="V68" s="5"/>
      <c r="W68" s="5"/>
      <c r="Y68" s="5"/>
      <c r="Z68" s="5"/>
      <c r="AA68" s="5"/>
      <c r="AB68" s="5"/>
      <c r="AC68" s="5"/>
      <c r="AD68" s="5"/>
      <c r="AF68" s="5"/>
      <c r="AG68" s="5"/>
      <c r="AH68" s="5"/>
      <c r="AI68" s="5"/>
      <c r="AJ68" s="5"/>
      <c r="AK68" s="5"/>
      <c r="AM68" s="5"/>
      <c r="AN68" s="5"/>
      <c r="AO68" s="5"/>
      <c r="AP68" s="5"/>
      <c r="AQ68" s="5"/>
      <c r="AR68" s="5"/>
      <c r="AT68" s="5"/>
      <c r="AU68" s="5"/>
      <c r="AV68" s="5"/>
      <c r="AW68" s="5"/>
      <c r="AX68" s="5"/>
      <c r="AY68" s="5"/>
      <c r="BA68" s="5"/>
      <c r="BB68" s="5"/>
      <c r="BC68" s="5"/>
      <c r="BD68" s="5"/>
      <c r="BE68" s="5"/>
      <c r="BF68" s="5"/>
      <c r="BH68" s="5"/>
      <c r="BI68" s="5"/>
      <c r="BJ68" s="5"/>
      <c r="BK68" s="5"/>
      <c r="BL68" s="5"/>
      <c r="BM68" s="5"/>
      <c r="BO68" s="5"/>
      <c r="BP68" s="5"/>
      <c r="BQ68" s="5"/>
      <c r="BR68" s="5"/>
      <c r="BS68" s="5"/>
      <c r="BU68" s="4"/>
      <c r="BV68" s="4"/>
      <c r="BW68" s="4"/>
      <c r="BX68" s="4"/>
    </row>
    <row r="69" spans="1:76" ht="15.75" customHeight="1">
      <c r="A69" s="16"/>
      <c r="B69" s="17"/>
      <c r="D69" s="5"/>
      <c r="E69" s="5"/>
      <c r="F69" s="5"/>
      <c r="G69" s="5"/>
      <c r="H69" s="5"/>
      <c r="I69" s="5"/>
      <c r="K69" s="5"/>
      <c r="L69" s="5"/>
      <c r="M69" s="5"/>
      <c r="N69" s="5"/>
      <c r="O69" s="5"/>
      <c r="P69" s="5"/>
      <c r="R69" s="5"/>
      <c r="S69" s="5"/>
      <c r="T69" s="5"/>
      <c r="U69" s="5"/>
      <c r="V69" s="5"/>
      <c r="W69" s="5"/>
      <c r="Y69" s="5"/>
      <c r="Z69" s="5"/>
      <c r="AA69" s="5"/>
      <c r="AB69" s="5"/>
      <c r="AC69" s="5"/>
      <c r="AD69" s="5"/>
      <c r="AF69" s="5"/>
      <c r="AG69" s="5"/>
      <c r="AH69" s="5"/>
      <c r="AI69" s="5"/>
      <c r="AJ69" s="5"/>
      <c r="AK69" s="5"/>
      <c r="AM69" s="5"/>
      <c r="AN69" s="5"/>
      <c r="AO69" s="5"/>
      <c r="AP69" s="5"/>
      <c r="AQ69" s="5"/>
      <c r="AR69" s="5"/>
      <c r="AT69" s="5"/>
      <c r="AU69" s="5"/>
      <c r="AV69" s="5"/>
      <c r="AW69" s="5"/>
      <c r="AX69" s="5"/>
      <c r="AY69" s="5"/>
      <c r="BA69" s="5"/>
      <c r="BB69" s="5"/>
      <c r="BC69" s="5"/>
      <c r="BD69" s="5"/>
      <c r="BE69" s="5"/>
      <c r="BF69" s="5"/>
      <c r="BH69" s="5"/>
      <c r="BI69" s="5"/>
      <c r="BJ69" s="5"/>
      <c r="BK69" s="5"/>
      <c r="BL69" s="5"/>
      <c r="BM69" s="5"/>
      <c r="BO69" s="5"/>
      <c r="BP69" s="5"/>
      <c r="BQ69" s="5"/>
      <c r="BR69" s="5"/>
      <c r="BS69" s="5"/>
      <c r="BU69" s="4"/>
      <c r="BV69" s="4"/>
      <c r="BW69" s="4"/>
      <c r="BX69" s="4"/>
    </row>
    <row r="70" spans="1:76" ht="15.75" customHeight="1">
      <c r="A70" s="16"/>
      <c r="B70" s="17"/>
      <c r="D70" s="5"/>
      <c r="E70" s="5"/>
      <c r="F70" s="5"/>
      <c r="G70" s="5"/>
      <c r="H70" s="5"/>
      <c r="I70" s="5"/>
      <c r="K70" s="5"/>
      <c r="L70" s="5"/>
      <c r="M70" s="5"/>
      <c r="N70" s="5"/>
      <c r="O70" s="5"/>
      <c r="P70" s="5"/>
      <c r="R70" s="5"/>
      <c r="S70" s="5"/>
      <c r="T70" s="5"/>
      <c r="U70" s="5"/>
      <c r="V70" s="5"/>
      <c r="W70" s="5"/>
      <c r="Y70" s="5"/>
      <c r="Z70" s="5"/>
      <c r="AA70" s="5"/>
      <c r="AB70" s="5"/>
      <c r="AC70" s="5"/>
      <c r="AD70" s="5"/>
      <c r="AF70" s="5"/>
      <c r="AG70" s="5"/>
      <c r="AH70" s="5"/>
      <c r="AI70" s="5"/>
      <c r="AJ70" s="5"/>
      <c r="AK70" s="5"/>
      <c r="AM70" s="5"/>
      <c r="AN70" s="5"/>
      <c r="AO70" s="5"/>
      <c r="AP70" s="5"/>
      <c r="AQ70" s="5"/>
      <c r="AR70" s="5"/>
      <c r="AT70" s="5"/>
      <c r="AU70" s="5"/>
      <c r="AV70" s="5"/>
      <c r="AW70" s="5"/>
      <c r="AX70" s="5"/>
      <c r="AY70" s="5"/>
      <c r="BA70" s="5"/>
      <c r="BB70" s="5"/>
      <c r="BC70" s="5"/>
      <c r="BD70" s="5"/>
      <c r="BE70" s="5"/>
      <c r="BF70" s="5"/>
      <c r="BH70" s="5"/>
      <c r="BI70" s="5"/>
      <c r="BJ70" s="5"/>
      <c r="BK70" s="5"/>
      <c r="BL70" s="5"/>
      <c r="BM70" s="5"/>
      <c r="BO70" s="5"/>
      <c r="BP70" s="5"/>
      <c r="BQ70" s="5"/>
      <c r="BR70" s="5"/>
      <c r="BS70" s="5"/>
      <c r="BU70" s="4"/>
      <c r="BV70" s="4"/>
      <c r="BW70" s="4"/>
      <c r="BX70" s="4"/>
    </row>
    <row r="71" spans="1:76" ht="15.75" customHeight="1">
      <c r="A71" s="16"/>
      <c r="B71" s="17"/>
      <c r="D71" s="5"/>
      <c r="E71" s="5"/>
      <c r="F71" s="5"/>
      <c r="G71" s="5"/>
      <c r="H71" s="5"/>
      <c r="I71" s="5"/>
      <c r="K71" s="5"/>
      <c r="L71" s="5"/>
      <c r="M71" s="5"/>
      <c r="N71" s="5"/>
      <c r="O71" s="5"/>
      <c r="P71" s="5"/>
      <c r="R71" s="5"/>
      <c r="S71" s="5"/>
      <c r="T71" s="5"/>
      <c r="U71" s="5"/>
      <c r="V71" s="5"/>
      <c r="W71" s="5"/>
      <c r="Y71" s="5"/>
      <c r="Z71" s="5"/>
      <c r="AA71" s="5"/>
      <c r="AB71" s="5"/>
      <c r="AC71" s="5"/>
      <c r="AD71" s="5"/>
      <c r="AF71" s="5"/>
      <c r="AG71" s="5"/>
      <c r="AH71" s="5"/>
      <c r="AI71" s="5"/>
      <c r="AJ71" s="5"/>
      <c r="AK71" s="5"/>
      <c r="AM71" s="5"/>
      <c r="AN71" s="5"/>
      <c r="AO71" s="5"/>
      <c r="AP71" s="5"/>
      <c r="AQ71" s="5"/>
      <c r="AR71" s="5"/>
      <c r="AT71" s="5"/>
      <c r="AU71" s="5"/>
      <c r="AV71" s="5"/>
      <c r="AW71" s="5"/>
      <c r="AX71" s="5"/>
      <c r="AY71" s="5"/>
      <c r="BA71" s="5"/>
      <c r="BB71" s="5"/>
      <c r="BC71" s="5"/>
      <c r="BD71" s="5"/>
      <c r="BE71" s="5"/>
      <c r="BF71" s="5"/>
      <c r="BH71" s="5"/>
      <c r="BI71" s="5"/>
      <c r="BJ71" s="5"/>
      <c r="BK71" s="5"/>
      <c r="BL71" s="5"/>
      <c r="BM71" s="5"/>
      <c r="BO71" s="5"/>
      <c r="BP71" s="5"/>
      <c r="BQ71" s="5"/>
      <c r="BR71" s="5"/>
      <c r="BS71" s="5"/>
      <c r="BU71" s="4"/>
      <c r="BV71" s="4"/>
      <c r="BW71" s="4"/>
      <c r="BX71" s="4"/>
    </row>
    <row r="72" spans="1:76" ht="15.75" customHeight="1">
      <c r="A72" s="18"/>
      <c r="B72" s="17"/>
      <c r="D72" s="5"/>
      <c r="E72" s="5"/>
      <c r="F72" s="5"/>
      <c r="G72" s="5"/>
      <c r="H72" s="5"/>
      <c r="I72" s="5"/>
      <c r="K72" s="5"/>
      <c r="L72" s="5"/>
      <c r="M72" s="5"/>
      <c r="N72" s="5"/>
      <c r="O72" s="5"/>
      <c r="P72" s="5"/>
      <c r="R72" s="5"/>
      <c r="S72" s="5"/>
      <c r="T72" s="5"/>
      <c r="U72" s="5"/>
      <c r="V72" s="5"/>
      <c r="W72" s="5"/>
      <c r="Y72" s="5"/>
      <c r="Z72" s="5"/>
      <c r="AA72" s="5"/>
      <c r="AB72" s="5"/>
      <c r="AC72" s="5"/>
      <c r="AD72" s="5"/>
      <c r="AF72" s="5"/>
      <c r="AG72" s="5"/>
      <c r="AH72" s="5"/>
      <c r="AI72" s="5"/>
      <c r="AJ72" s="5"/>
      <c r="AK72" s="5"/>
      <c r="AM72" s="5"/>
      <c r="AN72" s="5"/>
      <c r="AO72" s="5"/>
      <c r="AP72" s="5"/>
      <c r="AQ72" s="5"/>
      <c r="AR72" s="5"/>
      <c r="AT72" s="5"/>
      <c r="AU72" s="5"/>
      <c r="AV72" s="5"/>
      <c r="AW72" s="5"/>
      <c r="AX72" s="5"/>
      <c r="AY72" s="5"/>
      <c r="BA72" s="5"/>
      <c r="BB72" s="5"/>
      <c r="BC72" s="5"/>
      <c r="BD72" s="5"/>
      <c r="BE72" s="5"/>
      <c r="BF72" s="5"/>
      <c r="BH72" s="5"/>
      <c r="BI72" s="5"/>
      <c r="BJ72" s="5"/>
      <c r="BK72" s="5"/>
      <c r="BL72" s="5"/>
      <c r="BM72" s="5"/>
      <c r="BO72" s="5"/>
      <c r="BP72" s="5"/>
      <c r="BQ72" s="5"/>
      <c r="BR72" s="5"/>
      <c r="BS72" s="5"/>
      <c r="BU72" s="4"/>
      <c r="BV72" s="4"/>
      <c r="BW72" s="4"/>
      <c r="BX72" s="4"/>
    </row>
    <row r="73" spans="1:76" ht="15.75" customHeight="1">
      <c r="A73" s="18"/>
      <c r="B73" s="17"/>
      <c r="D73" s="5"/>
      <c r="E73" s="5"/>
      <c r="F73" s="5"/>
      <c r="G73" s="5"/>
      <c r="H73" s="5"/>
      <c r="I73" s="5"/>
      <c r="K73" s="5"/>
      <c r="L73" s="5"/>
      <c r="M73" s="5"/>
      <c r="N73" s="5"/>
      <c r="O73" s="5"/>
      <c r="P73" s="5"/>
      <c r="R73" s="5"/>
      <c r="S73" s="5"/>
      <c r="T73" s="5"/>
      <c r="U73" s="5"/>
      <c r="V73" s="5"/>
      <c r="W73" s="5"/>
      <c r="Y73" s="5"/>
      <c r="Z73" s="5"/>
      <c r="AA73" s="5"/>
      <c r="AB73" s="5"/>
      <c r="AC73" s="5"/>
      <c r="AD73" s="5"/>
      <c r="AF73" s="5"/>
      <c r="AG73" s="5"/>
      <c r="AH73" s="5"/>
      <c r="AI73" s="5"/>
      <c r="AJ73" s="5"/>
      <c r="AK73" s="5"/>
      <c r="AM73" s="5"/>
      <c r="AN73" s="5"/>
      <c r="AO73" s="5"/>
      <c r="AP73" s="5"/>
      <c r="AQ73" s="5"/>
      <c r="AR73" s="5"/>
      <c r="AT73" s="5"/>
      <c r="AU73" s="5"/>
      <c r="AV73" s="5"/>
      <c r="AW73" s="5"/>
      <c r="AX73" s="5"/>
      <c r="AY73" s="5"/>
      <c r="BA73" s="5"/>
      <c r="BB73" s="5"/>
      <c r="BC73" s="5"/>
      <c r="BD73" s="5"/>
      <c r="BE73" s="5"/>
      <c r="BF73" s="5"/>
      <c r="BH73" s="5"/>
      <c r="BI73" s="5"/>
      <c r="BJ73" s="5"/>
      <c r="BK73" s="5"/>
      <c r="BL73" s="5"/>
      <c r="BM73" s="5"/>
      <c r="BO73" s="5"/>
      <c r="BP73" s="5"/>
      <c r="BQ73" s="5"/>
      <c r="BR73" s="5"/>
      <c r="BS73" s="5"/>
      <c r="BU73" s="4"/>
      <c r="BV73" s="4"/>
      <c r="BW73" s="4"/>
      <c r="BX73" s="4"/>
    </row>
    <row r="74" spans="1:76" ht="15.75" customHeight="1">
      <c r="A74" s="18"/>
      <c r="B74" s="17"/>
      <c r="D74" s="5"/>
      <c r="E74" s="5"/>
      <c r="F74" s="5"/>
      <c r="G74" s="5"/>
      <c r="H74" s="5"/>
      <c r="I74" s="5"/>
      <c r="K74" s="5"/>
      <c r="L74" s="5"/>
      <c r="M74" s="5"/>
      <c r="N74" s="5"/>
      <c r="O74" s="5"/>
      <c r="P74" s="5"/>
      <c r="R74" s="5"/>
      <c r="S74" s="5"/>
      <c r="T74" s="5"/>
      <c r="U74" s="5"/>
      <c r="V74" s="5"/>
      <c r="W74" s="5"/>
      <c r="Y74" s="5"/>
      <c r="Z74" s="5"/>
      <c r="AA74" s="5"/>
      <c r="AB74" s="5"/>
      <c r="AC74" s="5"/>
      <c r="AD74" s="5"/>
      <c r="AF74" s="5"/>
      <c r="AG74" s="5"/>
      <c r="AH74" s="5"/>
      <c r="AI74" s="5"/>
      <c r="AJ74" s="5"/>
      <c r="AK74" s="5"/>
      <c r="AM74" s="5"/>
      <c r="AN74" s="5"/>
      <c r="AO74" s="5"/>
      <c r="AP74" s="5"/>
      <c r="AQ74" s="5"/>
      <c r="AR74" s="5"/>
      <c r="AT74" s="5"/>
      <c r="AU74" s="5"/>
      <c r="AV74" s="5"/>
      <c r="AW74" s="5"/>
      <c r="AX74" s="5"/>
      <c r="AY74" s="5"/>
      <c r="BA74" s="5"/>
      <c r="BB74" s="5"/>
      <c r="BC74" s="5"/>
      <c r="BD74" s="5"/>
      <c r="BE74" s="5"/>
      <c r="BF74" s="5"/>
      <c r="BH74" s="5"/>
      <c r="BI74" s="5"/>
      <c r="BJ74" s="5"/>
      <c r="BK74" s="5"/>
      <c r="BL74" s="5"/>
      <c r="BM74" s="5"/>
      <c r="BO74" s="5"/>
      <c r="BP74" s="5"/>
      <c r="BQ74" s="5"/>
      <c r="BR74" s="5"/>
      <c r="BS74" s="5"/>
      <c r="BU74" s="4"/>
      <c r="BV74" s="4"/>
      <c r="BW74" s="4"/>
      <c r="BX74" s="4"/>
    </row>
    <row r="75" spans="1:76" ht="15.75" customHeight="1">
      <c r="A75" s="18"/>
      <c r="B75" s="17"/>
      <c r="D75" s="5"/>
      <c r="E75" s="5"/>
      <c r="F75" s="5"/>
      <c r="G75" s="5"/>
      <c r="H75" s="5"/>
      <c r="I75" s="5"/>
      <c r="K75" s="5"/>
      <c r="L75" s="5"/>
      <c r="M75" s="5"/>
      <c r="N75" s="5"/>
      <c r="O75" s="5"/>
      <c r="P75" s="5"/>
      <c r="R75" s="5"/>
      <c r="S75" s="5"/>
      <c r="T75" s="5"/>
      <c r="U75" s="5"/>
      <c r="V75" s="5"/>
      <c r="W75" s="5"/>
      <c r="Y75" s="5"/>
      <c r="Z75" s="5"/>
      <c r="AA75" s="5"/>
      <c r="AB75" s="5"/>
      <c r="AC75" s="5"/>
      <c r="AD75" s="5"/>
      <c r="AF75" s="5"/>
      <c r="AG75" s="5"/>
      <c r="AH75" s="5"/>
      <c r="AI75" s="5"/>
      <c r="AJ75" s="5"/>
      <c r="AK75" s="5"/>
      <c r="AM75" s="5"/>
      <c r="AN75" s="5"/>
      <c r="AO75" s="5"/>
      <c r="AP75" s="5"/>
      <c r="AQ75" s="5"/>
      <c r="AR75" s="5"/>
      <c r="AT75" s="5"/>
      <c r="AU75" s="5"/>
      <c r="AV75" s="5"/>
      <c r="AW75" s="5"/>
      <c r="AX75" s="5"/>
      <c r="AY75" s="5"/>
      <c r="BA75" s="5"/>
      <c r="BB75" s="5"/>
      <c r="BC75" s="5"/>
      <c r="BD75" s="5"/>
      <c r="BE75" s="5"/>
      <c r="BF75" s="5"/>
      <c r="BH75" s="5"/>
      <c r="BI75" s="5"/>
      <c r="BJ75" s="5"/>
      <c r="BK75" s="5"/>
      <c r="BL75" s="5"/>
      <c r="BM75" s="5"/>
      <c r="BO75" s="5"/>
      <c r="BP75" s="5"/>
      <c r="BQ75" s="5"/>
      <c r="BR75" s="5"/>
      <c r="BS75" s="5"/>
      <c r="BU75" s="4"/>
      <c r="BV75" s="4"/>
      <c r="BW75" s="4"/>
      <c r="BX75" s="4"/>
    </row>
    <row r="76" spans="1:76" ht="15.75" customHeight="1">
      <c r="A76" s="18"/>
      <c r="B76" s="17"/>
      <c r="D76" s="5"/>
      <c r="E76" s="5"/>
      <c r="F76" s="5"/>
      <c r="G76" s="5"/>
      <c r="H76" s="5"/>
      <c r="I76" s="5"/>
      <c r="K76" s="5"/>
      <c r="L76" s="5"/>
      <c r="M76" s="5"/>
      <c r="N76" s="5"/>
      <c r="O76" s="5"/>
      <c r="P76" s="5"/>
      <c r="R76" s="5"/>
      <c r="S76" s="5"/>
      <c r="T76" s="5"/>
      <c r="U76" s="5"/>
      <c r="V76" s="5"/>
      <c r="W76" s="5"/>
      <c r="Y76" s="5"/>
      <c r="Z76" s="5"/>
      <c r="AA76" s="5"/>
      <c r="AB76" s="5"/>
      <c r="AC76" s="5"/>
      <c r="AD76" s="5"/>
      <c r="AF76" s="5"/>
      <c r="AG76" s="5"/>
      <c r="AH76" s="5"/>
      <c r="AI76" s="5"/>
      <c r="AJ76" s="5"/>
      <c r="AK76" s="5"/>
      <c r="AM76" s="5"/>
      <c r="AN76" s="5"/>
      <c r="AO76" s="5"/>
      <c r="AP76" s="5"/>
      <c r="AQ76" s="5"/>
      <c r="AR76" s="5"/>
      <c r="AT76" s="5"/>
      <c r="AU76" s="5"/>
      <c r="AV76" s="5"/>
      <c r="AW76" s="5"/>
      <c r="AX76" s="5"/>
      <c r="AY76" s="5"/>
      <c r="BA76" s="5"/>
      <c r="BB76" s="5"/>
      <c r="BC76" s="5"/>
      <c r="BD76" s="5"/>
      <c r="BE76" s="5"/>
      <c r="BF76" s="5"/>
      <c r="BH76" s="5"/>
      <c r="BI76" s="5"/>
      <c r="BJ76" s="5"/>
      <c r="BK76" s="5"/>
      <c r="BL76" s="5"/>
      <c r="BM76" s="5"/>
      <c r="BO76" s="5"/>
      <c r="BP76" s="5"/>
      <c r="BQ76" s="5"/>
      <c r="BR76" s="5"/>
      <c r="BS76" s="5"/>
      <c r="BU76" s="4"/>
      <c r="BV76" s="4"/>
      <c r="BW76" s="4"/>
      <c r="BX76" s="4"/>
    </row>
    <row r="77" spans="1:76" ht="15.75" customHeight="1">
      <c r="A77" s="16"/>
      <c r="B77" s="17"/>
      <c r="D77" s="5"/>
      <c r="E77" s="5"/>
      <c r="F77" s="5"/>
      <c r="G77" s="5"/>
      <c r="H77" s="5"/>
      <c r="I77" s="5"/>
      <c r="K77" s="5"/>
      <c r="L77" s="5"/>
      <c r="M77" s="5"/>
      <c r="N77" s="5"/>
      <c r="O77" s="5"/>
      <c r="P77" s="5"/>
      <c r="R77" s="5"/>
      <c r="S77" s="5"/>
      <c r="T77" s="5"/>
      <c r="U77" s="5"/>
      <c r="V77" s="5"/>
      <c r="W77" s="5"/>
      <c r="Y77" s="5"/>
      <c r="Z77" s="5"/>
      <c r="AA77" s="5"/>
      <c r="AB77" s="5"/>
      <c r="AC77" s="5"/>
      <c r="AD77" s="5"/>
      <c r="AF77" s="5"/>
      <c r="AG77" s="5"/>
      <c r="AH77" s="5"/>
      <c r="AI77" s="5"/>
      <c r="AJ77" s="5"/>
      <c r="AK77" s="5"/>
      <c r="AM77" s="5"/>
      <c r="AN77" s="5"/>
      <c r="AO77" s="5"/>
      <c r="AP77" s="5"/>
      <c r="AQ77" s="5"/>
      <c r="AR77" s="5"/>
      <c r="AT77" s="5"/>
      <c r="AU77" s="5"/>
      <c r="AV77" s="5"/>
      <c r="AW77" s="5"/>
      <c r="AX77" s="5"/>
      <c r="AY77" s="5"/>
      <c r="BA77" s="5"/>
      <c r="BB77" s="5"/>
      <c r="BC77" s="5"/>
      <c r="BD77" s="5"/>
      <c r="BE77" s="5"/>
      <c r="BF77" s="5"/>
      <c r="BH77" s="5"/>
      <c r="BI77" s="5"/>
      <c r="BJ77" s="5"/>
      <c r="BK77" s="5"/>
      <c r="BL77" s="5"/>
      <c r="BM77" s="5"/>
      <c r="BO77" s="5"/>
      <c r="BP77" s="5"/>
      <c r="BQ77" s="5"/>
      <c r="BR77" s="5"/>
      <c r="BS77" s="5"/>
      <c r="BU77" s="4"/>
      <c r="BV77" s="4"/>
      <c r="BW77" s="4"/>
      <c r="BX77" s="4"/>
    </row>
    <row r="78" spans="1:76" ht="15.75" customHeight="1">
      <c r="A78" s="16"/>
      <c r="B78" s="17"/>
      <c r="D78" s="5"/>
      <c r="E78" s="5"/>
      <c r="F78" s="5"/>
      <c r="G78" s="5"/>
      <c r="H78" s="5"/>
      <c r="I78" s="5"/>
      <c r="K78" s="5"/>
      <c r="L78" s="5"/>
      <c r="M78" s="5"/>
      <c r="N78" s="5"/>
      <c r="O78" s="5"/>
      <c r="P78" s="5"/>
      <c r="R78" s="5"/>
      <c r="S78" s="5"/>
      <c r="T78" s="5"/>
      <c r="U78" s="5"/>
      <c r="V78" s="5"/>
      <c r="W78" s="5"/>
      <c r="Y78" s="5"/>
      <c r="Z78" s="5"/>
      <c r="AA78" s="5"/>
      <c r="AB78" s="5"/>
      <c r="AC78" s="5"/>
      <c r="AD78" s="5"/>
      <c r="AF78" s="5"/>
      <c r="AG78" s="5"/>
      <c r="AH78" s="5"/>
      <c r="AI78" s="5"/>
      <c r="AJ78" s="5"/>
      <c r="AK78" s="5"/>
      <c r="AM78" s="5"/>
      <c r="AN78" s="5"/>
      <c r="AO78" s="5"/>
      <c r="AP78" s="5"/>
      <c r="AQ78" s="5"/>
      <c r="AR78" s="5"/>
      <c r="AT78" s="5"/>
      <c r="AU78" s="5"/>
      <c r="AV78" s="5"/>
      <c r="AW78" s="5"/>
      <c r="AX78" s="5"/>
      <c r="AY78" s="5"/>
      <c r="BA78" s="5"/>
      <c r="BB78" s="5"/>
      <c r="BC78" s="5"/>
      <c r="BD78" s="5"/>
      <c r="BE78" s="5"/>
      <c r="BF78" s="5"/>
      <c r="BH78" s="5"/>
      <c r="BI78" s="5"/>
      <c r="BJ78" s="5"/>
      <c r="BK78" s="5"/>
      <c r="BL78" s="5"/>
      <c r="BM78" s="5"/>
      <c r="BO78" s="5"/>
      <c r="BP78" s="5"/>
      <c r="BQ78" s="5"/>
      <c r="BR78" s="5"/>
      <c r="BS78" s="5"/>
      <c r="BU78" s="4"/>
      <c r="BV78" s="4"/>
      <c r="BW78" s="4"/>
      <c r="BX78" s="4"/>
    </row>
    <row r="79" spans="1:76" ht="15.75" customHeight="1">
      <c r="A79" s="16"/>
      <c r="B79" s="17"/>
      <c r="D79" s="5"/>
      <c r="E79" s="5"/>
      <c r="F79" s="5"/>
      <c r="G79" s="5"/>
      <c r="H79" s="5"/>
      <c r="I79" s="5"/>
      <c r="K79" s="5"/>
      <c r="L79" s="5"/>
      <c r="M79" s="5"/>
      <c r="N79" s="5"/>
      <c r="O79" s="5"/>
      <c r="P79" s="5"/>
      <c r="R79" s="5"/>
      <c r="S79" s="5"/>
      <c r="T79" s="5"/>
      <c r="U79" s="5"/>
      <c r="V79" s="5"/>
      <c r="W79" s="5"/>
      <c r="Y79" s="5"/>
      <c r="Z79" s="5"/>
      <c r="AA79" s="5"/>
      <c r="AB79" s="5"/>
      <c r="AC79" s="5"/>
      <c r="AD79" s="5"/>
      <c r="AF79" s="5"/>
      <c r="AG79" s="5"/>
      <c r="AH79" s="5"/>
      <c r="AI79" s="5"/>
      <c r="AJ79" s="5"/>
      <c r="AK79" s="5"/>
      <c r="AM79" s="5"/>
      <c r="AN79" s="5"/>
      <c r="AO79" s="5"/>
      <c r="AP79" s="5"/>
      <c r="AQ79" s="5"/>
      <c r="AR79" s="5"/>
      <c r="AT79" s="5"/>
      <c r="AU79" s="5"/>
      <c r="AV79" s="5"/>
      <c r="AW79" s="5"/>
      <c r="AX79" s="5"/>
      <c r="AY79" s="5"/>
      <c r="BA79" s="5"/>
      <c r="BB79" s="5"/>
      <c r="BC79" s="5"/>
      <c r="BD79" s="5"/>
      <c r="BE79" s="5"/>
      <c r="BF79" s="5"/>
      <c r="BH79" s="5"/>
      <c r="BI79" s="5"/>
      <c r="BJ79" s="5"/>
      <c r="BK79" s="5"/>
      <c r="BL79" s="5"/>
      <c r="BM79" s="5"/>
      <c r="BO79" s="5"/>
      <c r="BP79" s="5"/>
      <c r="BQ79" s="5"/>
      <c r="BR79" s="5"/>
      <c r="BS79" s="5"/>
      <c r="BU79" s="4"/>
      <c r="BV79" s="4"/>
      <c r="BW79" s="4"/>
      <c r="BX79" s="4"/>
    </row>
    <row r="80" spans="1:76" ht="15.75" customHeight="1">
      <c r="A80" s="16"/>
      <c r="B80" s="17"/>
      <c r="D80" s="5"/>
      <c r="E80" s="5"/>
      <c r="F80" s="5"/>
      <c r="G80" s="5"/>
      <c r="H80" s="5"/>
      <c r="I80" s="5"/>
      <c r="K80" s="5"/>
      <c r="L80" s="5"/>
      <c r="M80" s="5"/>
      <c r="N80" s="5"/>
      <c r="O80" s="5"/>
      <c r="P80" s="5"/>
      <c r="R80" s="5"/>
      <c r="S80" s="5"/>
      <c r="T80" s="5"/>
      <c r="U80" s="5"/>
      <c r="V80" s="5"/>
      <c r="W80" s="5"/>
      <c r="Y80" s="5"/>
      <c r="Z80" s="5"/>
      <c r="AA80" s="5"/>
      <c r="AB80" s="5"/>
      <c r="AC80" s="5"/>
      <c r="AD80" s="5"/>
      <c r="AF80" s="5"/>
      <c r="AG80" s="5"/>
      <c r="AH80" s="5"/>
      <c r="AI80" s="5"/>
      <c r="AJ80" s="5"/>
      <c r="AK80" s="5"/>
      <c r="AM80" s="5"/>
      <c r="AN80" s="5"/>
      <c r="AO80" s="5"/>
      <c r="AP80" s="5"/>
      <c r="AQ80" s="5"/>
      <c r="AR80" s="5"/>
      <c r="AT80" s="5"/>
      <c r="AU80" s="5"/>
      <c r="AV80" s="5"/>
      <c r="AW80" s="5"/>
      <c r="AX80" s="5"/>
      <c r="AY80" s="5"/>
      <c r="BA80" s="5"/>
      <c r="BB80" s="5"/>
      <c r="BC80" s="5"/>
      <c r="BD80" s="5"/>
      <c r="BE80" s="5"/>
      <c r="BF80" s="5"/>
      <c r="BH80" s="5"/>
      <c r="BI80" s="5"/>
      <c r="BJ80" s="5"/>
      <c r="BK80" s="5"/>
      <c r="BL80" s="5"/>
      <c r="BM80" s="5"/>
      <c r="BO80" s="5"/>
      <c r="BP80" s="5"/>
      <c r="BQ80" s="5"/>
      <c r="BR80" s="5"/>
      <c r="BS80" s="5"/>
      <c r="BU80" s="4"/>
      <c r="BV80" s="4"/>
      <c r="BW80" s="4"/>
      <c r="BX80" s="4"/>
    </row>
    <row r="81" spans="1:76" ht="15.75" customHeight="1">
      <c r="A81" s="16"/>
      <c r="B81" s="17"/>
      <c r="D81" s="5"/>
      <c r="E81" s="5"/>
      <c r="F81" s="5"/>
      <c r="G81" s="5"/>
      <c r="H81" s="5"/>
      <c r="I81" s="5"/>
      <c r="K81" s="5"/>
      <c r="L81" s="5"/>
      <c r="M81" s="5"/>
      <c r="N81" s="5"/>
      <c r="O81" s="5"/>
      <c r="P81" s="5"/>
      <c r="R81" s="5"/>
      <c r="S81" s="5"/>
      <c r="T81" s="5"/>
      <c r="U81" s="5"/>
      <c r="V81" s="5"/>
      <c r="W81" s="5"/>
      <c r="Y81" s="5"/>
      <c r="Z81" s="5"/>
      <c r="AA81" s="5"/>
      <c r="AB81" s="5"/>
      <c r="AC81" s="5"/>
      <c r="AD81" s="5"/>
      <c r="AF81" s="5"/>
      <c r="AG81" s="5"/>
      <c r="AH81" s="5"/>
      <c r="AI81" s="5"/>
      <c r="AJ81" s="5"/>
      <c r="AK81" s="5"/>
      <c r="AM81" s="5"/>
      <c r="AN81" s="5"/>
      <c r="AO81" s="5"/>
      <c r="AP81" s="5"/>
      <c r="AQ81" s="5"/>
      <c r="AR81" s="5"/>
      <c r="AT81" s="5"/>
      <c r="AU81" s="5"/>
      <c r="AV81" s="5"/>
      <c r="AW81" s="5"/>
      <c r="AX81" s="5"/>
      <c r="AY81" s="5"/>
      <c r="BA81" s="5"/>
      <c r="BB81" s="5"/>
      <c r="BC81" s="5"/>
      <c r="BD81" s="5"/>
      <c r="BE81" s="5"/>
      <c r="BF81" s="5"/>
      <c r="BH81" s="5"/>
      <c r="BI81" s="5"/>
      <c r="BJ81" s="5"/>
      <c r="BK81" s="5"/>
      <c r="BL81" s="5"/>
      <c r="BM81" s="5"/>
      <c r="BO81" s="5"/>
      <c r="BP81" s="5"/>
      <c r="BQ81" s="5"/>
      <c r="BR81" s="5"/>
      <c r="BS81" s="5"/>
      <c r="BU81" s="4"/>
      <c r="BV81" s="4"/>
      <c r="BW81" s="4"/>
      <c r="BX81" s="4"/>
    </row>
    <row r="82" spans="1:76" ht="15.75" customHeight="1">
      <c r="A82" s="16"/>
      <c r="B82" s="17"/>
      <c r="D82" s="5"/>
      <c r="E82" s="5"/>
      <c r="F82" s="5"/>
      <c r="G82" s="5"/>
      <c r="H82" s="5"/>
      <c r="I82" s="5"/>
      <c r="K82" s="5"/>
      <c r="L82" s="5"/>
      <c r="M82" s="5"/>
      <c r="N82" s="5"/>
      <c r="O82" s="5"/>
      <c r="P82" s="5"/>
      <c r="R82" s="5"/>
      <c r="S82" s="5"/>
      <c r="T82" s="5"/>
      <c r="U82" s="5"/>
      <c r="V82" s="5"/>
      <c r="W82" s="5"/>
      <c r="Y82" s="5"/>
      <c r="Z82" s="5"/>
      <c r="AA82" s="5"/>
      <c r="AB82" s="5"/>
      <c r="AC82" s="5"/>
      <c r="AD82" s="5"/>
      <c r="AF82" s="5"/>
      <c r="AG82" s="5"/>
      <c r="AH82" s="5"/>
      <c r="AI82" s="5"/>
      <c r="AJ82" s="5"/>
      <c r="AK82" s="5"/>
      <c r="AM82" s="5"/>
      <c r="AN82" s="5"/>
      <c r="AO82" s="5"/>
      <c r="AP82" s="5"/>
      <c r="AQ82" s="5"/>
      <c r="AR82" s="5"/>
      <c r="AT82" s="5"/>
      <c r="AU82" s="5"/>
      <c r="AV82" s="5"/>
      <c r="AW82" s="5"/>
      <c r="AX82" s="5"/>
      <c r="AY82" s="5"/>
      <c r="BA82" s="5"/>
      <c r="BB82" s="5"/>
      <c r="BC82" s="5"/>
      <c r="BD82" s="5"/>
      <c r="BE82" s="5"/>
      <c r="BF82" s="5"/>
      <c r="BH82" s="5"/>
      <c r="BI82" s="5"/>
      <c r="BJ82" s="5"/>
      <c r="BK82" s="5"/>
      <c r="BL82" s="5"/>
      <c r="BM82" s="5"/>
      <c r="BO82" s="5"/>
      <c r="BP82" s="5"/>
      <c r="BQ82" s="5"/>
      <c r="BR82" s="5"/>
      <c r="BS82" s="5"/>
      <c r="BU82" s="4"/>
      <c r="BV82" s="4"/>
      <c r="BW82" s="4"/>
      <c r="BX82" s="4"/>
    </row>
    <row r="83" spans="1:76" ht="15.75" customHeight="1">
      <c r="A83" s="16"/>
      <c r="B83" s="17"/>
      <c r="D83" s="5"/>
      <c r="E83" s="5"/>
      <c r="F83" s="5"/>
      <c r="G83" s="5"/>
      <c r="H83" s="5"/>
      <c r="I83" s="5"/>
      <c r="K83" s="5"/>
      <c r="L83" s="5"/>
      <c r="M83" s="5"/>
      <c r="N83" s="5"/>
      <c r="O83" s="5"/>
      <c r="P83" s="5"/>
      <c r="R83" s="5"/>
      <c r="S83" s="5"/>
      <c r="T83" s="5"/>
      <c r="U83" s="5"/>
      <c r="V83" s="5"/>
      <c r="W83" s="5"/>
      <c r="Y83" s="5"/>
      <c r="Z83" s="5"/>
      <c r="AA83" s="5"/>
      <c r="AB83" s="5"/>
      <c r="AC83" s="5"/>
      <c r="AD83" s="5"/>
      <c r="AF83" s="5"/>
      <c r="AG83" s="5"/>
      <c r="AH83" s="5"/>
      <c r="AI83" s="5"/>
      <c r="AJ83" s="5"/>
      <c r="AK83" s="5"/>
      <c r="AM83" s="5"/>
      <c r="AN83" s="5"/>
      <c r="AO83" s="5"/>
      <c r="AP83" s="5"/>
      <c r="AQ83" s="5"/>
      <c r="AR83" s="5"/>
      <c r="AT83" s="5"/>
      <c r="AU83" s="5"/>
      <c r="AV83" s="5"/>
      <c r="AW83" s="5"/>
      <c r="AX83" s="5"/>
      <c r="AY83" s="5"/>
      <c r="BA83" s="5"/>
      <c r="BB83" s="5"/>
      <c r="BC83" s="5"/>
      <c r="BD83" s="5"/>
      <c r="BE83" s="5"/>
      <c r="BF83" s="5"/>
      <c r="BH83" s="5"/>
      <c r="BI83" s="5"/>
      <c r="BJ83" s="5"/>
      <c r="BK83" s="5"/>
      <c r="BL83" s="5"/>
      <c r="BM83" s="5"/>
      <c r="BO83" s="5"/>
      <c r="BP83" s="5"/>
      <c r="BQ83" s="5"/>
      <c r="BR83" s="5"/>
      <c r="BS83" s="5"/>
      <c r="BU83" s="4"/>
      <c r="BV83" s="4"/>
      <c r="BW83" s="4"/>
      <c r="BX83" s="4"/>
    </row>
    <row r="84" spans="1:76" ht="15.75" customHeight="1">
      <c r="D84" s="5"/>
      <c r="E84" s="5"/>
      <c r="F84" s="5"/>
      <c r="G84" s="5"/>
      <c r="H84" s="5"/>
      <c r="I84" s="5"/>
      <c r="K84" s="5"/>
      <c r="L84" s="5"/>
      <c r="M84" s="5"/>
      <c r="N84" s="5"/>
      <c r="O84" s="5"/>
      <c r="P84" s="5"/>
      <c r="R84" s="5"/>
      <c r="S84" s="5"/>
      <c r="T84" s="5"/>
      <c r="U84" s="5"/>
      <c r="V84" s="5"/>
      <c r="W84" s="5"/>
      <c r="Y84" s="5"/>
      <c r="Z84" s="5"/>
      <c r="AA84" s="5"/>
      <c r="AB84" s="5"/>
      <c r="AC84" s="5"/>
      <c r="AD84" s="5"/>
      <c r="AF84" s="5"/>
      <c r="AG84" s="5"/>
      <c r="AH84" s="5"/>
      <c r="AI84" s="5"/>
      <c r="AJ84" s="5"/>
      <c r="AK84" s="5"/>
      <c r="AM84" s="5"/>
      <c r="AN84" s="5"/>
      <c r="AO84" s="5"/>
      <c r="AP84" s="5"/>
      <c r="AQ84" s="5"/>
      <c r="AR84" s="5"/>
      <c r="AT84" s="5"/>
      <c r="AU84" s="5"/>
      <c r="AV84" s="5"/>
      <c r="AW84" s="5"/>
      <c r="AX84" s="5"/>
      <c r="AY84" s="5"/>
      <c r="BA84" s="5"/>
      <c r="BB84" s="5"/>
      <c r="BC84" s="5"/>
      <c r="BD84" s="5"/>
      <c r="BE84" s="5"/>
      <c r="BF84" s="5"/>
      <c r="BH84" s="5"/>
      <c r="BI84" s="5"/>
      <c r="BJ84" s="5"/>
      <c r="BK84" s="5"/>
      <c r="BL84" s="5"/>
      <c r="BM84" s="5"/>
      <c r="BO84" s="5"/>
      <c r="BP84" s="5"/>
      <c r="BQ84" s="5"/>
      <c r="BR84" s="5"/>
      <c r="BS84" s="5"/>
      <c r="BU84" s="4"/>
      <c r="BV84" s="4"/>
      <c r="BW84" s="4"/>
      <c r="BX84" s="4"/>
    </row>
    <row r="85" spans="1:76" ht="15.75" customHeight="1">
      <c r="D85" s="5"/>
      <c r="E85" s="5"/>
      <c r="F85" s="5"/>
      <c r="G85" s="5"/>
      <c r="H85" s="5"/>
      <c r="I85" s="5"/>
      <c r="K85" s="5"/>
      <c r="L85" s="5"/>
      <c r="M85" s="5"/>
      <c r="N85" s="5"/>
      <c r="O85" s="5"/>
      <c r="P85" s="5"/>
      <c r="R85" s="5"/>
      <c r="S85" s="5"/>
      <c r="T85" s="5"/>
      <c r="U85" s="5"/>
      <c r="V85" s="5"/>
      <c r="W85" s="5"/>
      <c r="Y85" s="5"/>
      <c r="Z85" s="5"/>
      <c r="AA85" s="5"/>
      <c r="AB85" s="5"/>
      <c r="AC85" s="5"/>
      <c r="AD85" s="5"/>
      <c r="AF85" s="5"/>
      <c r="AG85" s="5"/>
      <c r="AH85" s="5"/>
      <c r="AI85" s="5"/>
      <c r="AJ85" s="5"/>
      <c r="AK85" s="5"/>
      <c r="AM85" s="5"/>
      <c r="AN85" s="5"/>
      <c r="AO85" s="5"/>
      <c r="AP85" s="5"/>
      <c r="AQ85" s="5"/>
      <c r="AR85" s="5"/>
      <c r="AT85" s="5"/>
      <c r="AU85" s="5"/>
      <c r="AV85" s="5"/>
      <c r="AW85" s="5"/>
      <c r="AX85" s="5"/>
      <c r="AY85" s="5"/>
      <c r="BA85" s="5"/>
      <c r="BB85" s="5"/>
      <c r="BC85" s="5"/>
      <c r="BD85" s="5"/>
      <c r="BE85" s="5"/>
      <c r="BF85" s="5"/>
      <c r="BH85" s="5"/>
      <c r="BI85" s="5"/>
      <c r="BJ85" s="5"/>
      <c r="BK85" s="5"/>
      <c r="BL85" s="5"/>
      <c r="BM85" s="5"/>
      <c r="BO85" s="5"/>
      <c r="BP85" s="5"/>
      <c r="BQ85" s="5"/>
      <c r="BR85" s="5"/>
      <c r="BS85" s="5"/>
      <c r="BU85" s="4"/>
      <c r="BV85" s="4"/>
      <c r="BW85" s="4"/>
      <c r="BX85" s="4"/>
    </row>
    <row r="86" spans="1:76" ht="15.75" customHeight="1">
      <c r="D86" s="5"/>
      <c r="E86" s="5"/>
      <c r="F86" s="5"/>
      <c r="G86" s="5"/>
      <c r="H86" s="5"/>
      <c r="I86" s="5"/>
      <c r="K86" s="5"/>
      <c r="L86" s="5"/>
      <c r="M86" s="5"/>
      <c r="N86" s="5"/>
      <c r="O86" s="5"/>
      <c r="P86" s="5"/>
      <c r="R86" s="5"/>
      <c r="S86" s="5"/>
      <c r="T86" s="5"/>
      <c r="U86" s="5"/>
      <c r="V86" s="5"/>
      <c r="W86" s="5"/>
      <c r="Y86" s="5"/>
      <c r="Z86" s="5"/>
      <c r="AA86" s="5"/>
      <c r="AB86" s="5"/>
      <c r="AC86" s="5"/>
      <c r="AD86" s="5"/>
      <c r="AF86" s="5"/>
      <c r="AG86" s="5"/>
      <c r="AH86" s="5"/>
      <c r="AI86" s="5"/>
      <c r="AJ86" s="5"/>
      <c r="AK86" s="5"/>
      <c r="AM86" s="5"/>
      <c r="AN86" s="5"/>
      <c r="AO86" s="5"/>
      <c r="AP86" s="5"/>
      <c r="AQ86" s="5"/>
      <c r="AR86" s="5"/>
      <c r="AT86" s="5"/>
      <c r="AU86" s="5"/>
      <c r="AV86" s="5"/>
      <c r="AW86" s="5"/>
      <c r="AX86" s="5"/>
      <c r="AY86" s="5"/>
      <c r="BA86" s="5"/>
      <c r="BB86" s="5"/>
      <c r="BC86" s="5"/>
      <c r="BD86" s="5"/>
      <c r="BE86" s="5"/>
      <c r="BF86" s="5"/>
      <c r="BH86" s="5"/>
      <c r="BI86" s="5"/>
      <c r="BJ86" s="5"/>
      <c r="BK86" s="5"/>
      <c r="BL86" s="5"/>
      <c r="BM86" s="5"/>
      <c r="BO86" s="5"/>
      <c r="BP86" s="5"/>
      <c r="BQ86" s="5"/>
      <c r="BR86" s="5"/>
      <c r="BS86" s="5"/>
      <c r="BU86" s="4"/>
      <c r="BV86" s="4"/>
      <c r="BW86" s="4"/>
      <c r="BX86" s="4"/>
    </row>
    <row r="87" spans="1:76" ht="15.75" customHeight="1">
      <c r="D87" s="5"/>
      <c r="E87" s="5"/>
      <c r="F87" s="5"/>
      <c r="G87" s="5"/>
      <c r="H87" s="5"/>
      <c r="I87" s="5"/>
      <c r="K87" s="5"/>
      <c r="L87" s="5"/>
      <c r="M87" s="5"/>
      <c r="N87" s="5"/>
      <c r="O87" s="5"/>
      <c r="P87" s="5"/>
      <c r="R87" s="5"/>
      <c r="S87" s="5"/>
      <c r="T87" s="5"/>
      <c r="U87" s="5"/>
      <c r="V87" s="5"/>
      <c r="W87" s="5"/>
      <c r="Y87" s="5"/>
      <c r="Z87" s="5"/>
      <c r="AA87" s="5"/>
      <c r="AB87" s="5"/>
      <c r="AC87" s="5"/>
      <c r="AD87" s="5"/>
      <c r="AF87" s="5"/>
      <c r="AG87" s="5"/>
      <c r="AH87" s="5"/>
      <c r="AI87" s="5"/>
      <c r="AJ87" s="5"/>
      <c r="AK87" s="5"/>
      <c r="AM87" s="5"/>
      <c r="AN87" s="5"/>
      <c r="AO87" s="5"/>
      <c r="AP87" s="5"/>
      <c r="AQ87" s="5"/>
      <c r="AR87" s="5"/>
      <c r="AT87" s="5"/>
      <c r="AU87" s="5"/>
      <c r="AV87" s="5"/>
      <c r="AW87" s="5"/>
      <c r="AX87" s="5"/>
      <c r="AY87" s="5"/>
      <c r="BA87" s="5"/>
      <c r="BB87" s="5"/>
      <c r="BC87" s="5"/>
      <c r="BD87" s="5"/>
      <c r="BE87" s="5"/>
      <c r="BF87" s="5"/>
      <c r="BH87" s="5"/>
      <c r="BI87" s="5"/>
      <c r="BJ87" s="5"/>
      <c r="BK87" s="5"/>
      <c r="BL87" s="5"/>
      <c r="BM87" s="5"/>
      <c r="BO87" s="5"/>
      <c r="BP87" s="5"/>
      <c r="BQ87" s="5"/>
      <c r="BR87" s="5"/>
      <c r="BS87" s="5"/>
      <c r="BU87" s="4"/>
      <c r="BV87" s="4"/>
      <c r="BW87" s="4"/>
      <c r="BX87" s="4"/>
    </row>
    <row r="88" spans="1:76" ht="15.75" customHeight="1">
      <c r="D88" s="5"/>
      <c r="E88" s="5"/>
      <c r="F88" s="5"/>
      <c r="G88" s="5"/>
      <c r="H88" s="5"/>
      <c r="I88" s="5"/>
      <c r="K88" s="5"/>
      <c r="L88" s="5"/>
      <c r="M88" s="5"/>
      <c r="N88" s="5"/>
      <c r="O88" s="5"/>
      <c r="P88" s="5"/>
      <c r="R88" s="5"/>
      <c r="S88" s="5"/>
      <c r="T88" s="5"/>
      <c r="U88" s="5"/>
      <c r="V88" s="5"/>
      <c r="W88" s="5"/>
      <c r="Y88" s="5"/>
      <c r="Z88" s="5"/>
      <c r="AA88" s="5"/>
      <c r="AB88" s="5"/>
      <c r="AC88" s="5"/>
      <c r="AD88" s="5"/>
      <c r="AF88" s="5"/>
      <c r="AG88" s="5"/>
      <c r="AH88" s="5"/>
      <c r="AI88" s="5"/>
      <c r="AJ88" s="5"/>
      <c r="AK88" s="5"/>
      <c r="AM88" s="5"/>
      <c r="AN88" s="5"/>
      <c r="AO88" s="5"/>
      <c r="AP88" s="5"/>
      <c r="AQ88" s="5"/>
      <c r="AR88" s="5"/>
      <c r="AT88" s="5"/>
      <c r="AU88" s="5"/>
      <c r="AV88" s="5"/>
      <c r="AW88" s="5"/>
      <c r="AX88" s="5"/>
      <c r="AY88" s="5"/>
      <c r="BA88" s="5"/>
      <c r="BB88" s="5"/>
      <c r="BC88" s="5"/>
      <c r="BD88" s="5"/>
      <c r="BE88" s="5"/>
      <c r="BF88" s="5"/>
      <c r="BH88" s="5"/>
      <c r="BI88" s="5"/>
      <c r="BJ88" s="5"/>
      <c r="BK88" s="5"/>
      <c r="BL88" s="5"/>
      <c r="BM88" s="5"/>
      <c r="BO88" s="5"/>
      <c r="BP88" s="5"/>
      <c r="BQ88" s="5"/>
      <c r="BR88" s="5"/>
      <c r="BS88" s="5"/>
      <c r="BU88" s="4"/>
      <c r="BV88" s="4"/>
      <c r="BW88" s="4"/>
      <c r="BX88" s="4"/>
    </row>
    <row r="89" spans="1:76" ht="15.75" customHeight="1">
      <c r="D89" s="5"/>
      <c r="E89" s="5"/>
      <c r="F89" s="5"/>
      <c r="G89" s="5"/>
      <c r="H89" s="5"/>
      <c r="I89" s="5"/>
      <c r="K89" s="5"/>
      <c r="L89" s="5"/>
      <c r="M89" s="5"/>
      <c r="N89" s="5"/>
      <c r="O89" s="5"/>
      <c r="P89" s="5"/>
      <c r="R89" s="5"/>
      <c r="S89" s="5"/>
      <c r="T89" s="5"/>
      <c r="U89" s="5"/>
      <c r="V89" s="5"/>
      <c r="W89" s="5"/>
      <c r="Y89" s="5"/>
      <c r="Z89" s="5"/>
      <c r="AA89" s="5"/>
      <c r="AB89" s="5"/>
      <c r="AC89" s="5"/>
      <c r="AD89" s="5"/>
      <c r="AF89" s="5"/>
      <c r="AG89" s="5"/>
      <c r="AH89" s="5"/>
      <c r="AI89" s="5"/>
      <c r="AJ89" s="5"/>
      <c r="AK89" s="5"/>
      <c r="AM89" s="5"/>
      <c r="AN89" s="5"/>
      <c r="AO89" s="5"/>
      <c r="AP89" s="5"/>
      <c r="AQ89" s="5"/>
      <c r="AR89" s="5"/>
      <c r="AT89" s="5"/>
      <c r="AU89" s="5"/>
      <c r="AV89" s="5"/>
      <c r="AW89" s="5"/>
      <c r="AX89" s="5"/>
      <c r="AY89" s="5"/>
      <c r="BA89" s="5"/>
      <c r="BB89" s="5"/>
      <c r="BC89" s="5"/>
      <c r="BD89" s="5"/>
      <c r="BE89" s="5"/>
      <c r="BF89" s="5"/>
      <c r="BH89" s="5"/>
      <c r="BI89" s="5"/>
      <c r="BJ89" s="5"/>
      <c r="BK89" s="5"/>
      <c r="BL89" s="5"/>
      <c r="BM89" s="5"/>
      <c r="BO89" s="5"/>
      <c r="BP89" s="5"/>
      <c r="BQ89" s="5"/>
      <c r="BR89" s="5"/>
      <c r="BS89" s="5"/>
      <c r="BU89" s="4"/>
      <c r="BV89" s="4"/>
      <c r="BW89" s="4"/>
      <c r="BX89" s="4"/>
    </row>
    <row r="90" spans="1:76" ht="15.75" customHeight="1">
      <c r="D90" s="5"/>
      <c r="E90" s="5"/>
      <c r="F90" s="5"/>
      <c r="G90" s="5"/>
      <c r="H90" s="5"/>
      <c r="I90" s="5"/>
      <c r="K90" s="5"/>
      <c r="L90" s="5"/>
      <c r="M90" s="5"/>
      <c r="N90" s="5"/>
      <c r="O90" s="5"/>
      <c r="P90" s="5"/>
      <c r="R90" s="5"/>
      <c r="S90" s="5"/>
      <c r="T90" s="5"/>
      <c r="U90" s="5"/>
      <c r="V90" s="5"/>
      <c r="W90" s="5"/>
      <c r="Y90" s="5"/>
      <c r="Z90" s="5"/>
      <c r="AA90" s="5"/>
      <c r="AB90" s="5"/>
      <c r="AC90" s="5"/>
      <c r="AD90" s="5"/>
      <c r="AF90" s="5"/>
      <c r="AG90" s="5"/>
      <c r="AH90" s="5"/>
      <c r="AI90" s="5"/>
      <c r="AJ90" s="5"/>
      <c r="AK90" s="5"/>
      <c r="AM90" s="5"/>
      <c r="AN90" s="5"/>
      <c r="AO90" s="5"/>
      <c r="AP90" s="5"/>
      <c r="AQ90" s="5"/>
      <c r="AR90" s="5"/>
      <c r="AT90" s="5"/>
      <c r="AU90" s="5"/>
      <c r="AV90" s="5"/>
      <c r="AW90" s="5"/>
      <c r="AX90" s="5"/>
      <c r="AY90" s="5"/>
      <c r="BA90" s="5"/>
      <c r="BB90" s="5"/>
      <c r="BC90" s="5"/>
      <c r="BD90" s="5"/>
      <c r="BE90" s="5"/>
      <c r="BF90" s="5"/>
      <c r="BH90" s="5"/>
      <c r="BI90" s="5"/>
      <c r="BJ90" s="5"/>
      <c r="BK90" s="5"/>
      <c r="BL90" s="5"/>
      <c r="BM90" s="5"/>
      <c r="BO90" s="5"/>
      <c r="BP90" s="5"/>
      <c r="BQ90" s="5"/>
      <c r="BR90" s="5"/>
      <c r="BS90" s="5"/>
      <c r="BU90" s="4"/>
      <c r="BV90" s="4"/>
      <c r="BW90" s="4"/>
      <c r="BX90" s="4"/>
    </row>
    <row r="91" spans="1:76" ht="15.75" customHeight="1">
      <c r="D91" s="5"/>
      <c r="E91" s="5"/>
      <c r="F91" s="5"/>
      <c r="G91" s="5"/>
      <c r="H91" s="5"/>
      <c r="I91" s="5"/>
      <c r="K91" s="5"/>
      <c r="L91" s="5"/>
      <c r="M91" s="5"/>
      <c r="N91" s="5"/>
      <c r="O91" s="5"/>
      <c r="P91" s="5"/>
      <c r="R91" s="5"/>
      <c r="S91" s="5"/>
      <c r="T91" s="5"/>
      <c r="U91" s="5"/>
      <c r="V91" s="5"/>
      <c r="W91" s="5"/>
      <c r="Y91" s="5"/>
      <c r="Z91" s="5"/>
      <c r="AA91" s="5"/>
      <c r="AB91" s="5"/>
      <c r="AC91" s="5"/>
      <c r="AD91" s="5"/>
      <c r="AF91" s="5"/>
      <c r="AG91" s="5"/>
      <c r="AH91" s="5"/>
      <c r="AI91" s="5"/>
      <c r="AJ91" s="5"/>
      <c r="AK91" s="5"/>
      <c r="AM91" s="5"/>
      <c r="AN91" s="5"/>
      <c r="AO91" s="5"/>
      <c r="AP91" s="5"/>
      <c r="AQ91" s="5"/>
      <c r="AR91" s="5"/>
      <c r="AT91" s="5"/>
      <c r="AU91" s="5"/>
      <c r="AV91" s="5"/>
      <c r="AW91" s="5"/>
      <c r="AX91" s="5"/>
      <c r="AY91" s="5"/>
      <c r="BA91" s="5"/>
      <c r="BB91" s="5"/>
      <c r="BC91" s="5"/>
      <c r="BD91" s="5"/>
      <c r="BE91" s="5"/>
      <c r="BF91" s="5"/>
      <c r="BH91" s="5"/>
      <c r="BI91" s="5"/>
      <c r="BJ91" s="5"/>
      <c r="BK91" s="5"/>
      <c r="BL91" s="5"/>
      <c r="BM91" s="5"/>
      <c r="BO91" s="5"/>
      <c r="BP91" s="5"/>
      <c r="BQ91" s="5"/>
      <c r="BR91" s="5"/>
      <c r="BS91" s="5"/>
      <c r="BU91" s="4"/>
      <c r="BV91" s="4"/>
      <c r="BW91" s="4"/>
      <c r="BX91" s="4"/>
    </row>
    <row r="92" spans="1:76" ht="15.75" customHeight="1">
      <c r="D92" s="5"/>
      <c r="E92" s="5"/>
      <c r="F92" s="5"/>
      <c r="G92" s="5"/>
      <c r="H92" s="5"/>
      <c r="I92" s="5"/>
      <c r="K92" s="5"/>
      <c r="L92" s="5"/>
      <c r="M92" s="5"/>
      <c r="N92" s="5"/>
      <c r="O92" s="5"/>
      <c r="P92" s="5"/>
      <c r="R92" s="5"/>
      <c r="S92" s="5"/>
      <c r="T92" s="5"/>
      <c r="U92" s="5"/>
      <c r="V92" s="5"/>
      <c r="W92" s="5"/>
      <c r="Y92" s="5"/>
      <c r="Z92" s="5"/>
      <c r="AA92" s="5"/>
      <c r="AB92" s="5"/>
      <c r="AC92" s="5"/>
      <c r="AD92" s="5"/>
      <c r="AF92" s="5"/>
      <c r="AG92" s="5"/>
      <c r="AH92" s="5"/>
      <c r="AI92" s="5"/>
      <c r="AJ92" s="5"/>
      <c r="AK92" s="5"/>
      <c r="AM92" s="5"/>
      <c r="AN92" s="5"/>
      <c r="AO92" s="5"/>
      <c r="AP92" s="5"/>
      <c r="AQ92" s="5"/>
      <c r="AR92" s="5"/>
      <c r="AT92" s="5"/>
      <c r="AU92" s="5"/>
      <c r="AV92" s="5"/>
      <c r="AW92" s="5"/>
      <c r="AX92" s="5"/>
      <c r="AY92" s="5"/>
      <c r="BA92" s="5"/>
      <c r="BB92" s="5"/>
      <c r="BC92" s="5"/>
      <c r="BD92" s="5"/>
      <c r="BE92" s="5"/>
      <c r="BF92" s="5"/>
      <c r="BH92" s="5"/>
      <c r="BI92" s="5"/>
      <c r="BJ92" s="5"/>
      <c r="BK92" s="5"/>
      <c r="BL92" s="5"/>
      <c r="BM92" s="5"/>
      <c r="BO92" s="5"/>
      <c r="BP92" s="5"/>
      <c r="BQ92" s="5"/>
      <c r="BR92" s="5"/>
      <c r="BS92" s="5"/>
      <c r="BU92" s="4"/>
      <c r="BV92" s="4"/>
      <c r="BW92" s="4"/>
      <c r="BX92" s="4"/>
    </row>
    <row r="93" spans="1:76" ht="15.75" customHeight="1">
      <c r="D93" s="5"/>
      <c r="E93" s="5"/>
      <c r="F93" s="5"/>
      <c r="G93" s="5"/>
      <c r="H93" s="5"/>
      <c r="I93" s="5"/>
      <c r="K93" s="5"/>
      <c r="L93" s="5"/>
      <c r="M93" s="5"/>
      <c r="N93" s="5"/>
      <c r="O93" s="5"/>
      <c r="P93" s="5"/>
      <c r="R93" s="5"/>
      <c r="S93" s="5"/>
      <c r="T93" s="5"/>
      <c r="U93" s="5"/>
      <c r="V93" s="5"/>
      <c r="W93" s="5"/>
      <c r="Y93" s="5"/>
      <c r="Z93" s="5"/>
      <c r="AA93" s="5"/>
      <c r="AB93" s="5"/>
      <c r="AC93" s="5"/>
      <c r="AD93" s="5"/>
      <c r="AF93" s="5"/>
      <c r="AG93" s="5"/>
      <c r="AH93" s="5"/>
      <c r="AI93" s="5"/>
      <c r="AJ93" s="5"/>
      <c r="AK93" s="5"/>
      <c r="AM93" s="5"/>
      <c r="AN93" s="5"/>
      <c r="AO93" s="5"/>
      <c r="AP93" s="5"/>
      <c r="AQ93" s="5"/>
      <c r="AR93" s="5"/>
      <c r="AT93" s="5"/>
      <c r="AU93" s="5"/>
      <c r="AV93" s="5"/>
      <c r="AW93" s="5"/>
      <c r="AX93" s="5"/>
      <c r="AY93" s="5"/>
      <c r="BA93" s="5"/>
      <c r="BB93" s="5"/>
      <c r="BC93" s="5"/>
      <c r="BD93" s="5"/>
      <c r="BE93" s="5"/>
      <c r="BF93" s="5"/>
      <c r="BH93" s="5"/>
      <c r="BI93" s="5"/>
      <c r="BJ93" s="5"/>
      <c r="BK93" s="5"/>
      <c r="BL93" s="5"/>
      <c r="BM93" s="5"/>
      <c r="BO93" s="5"/>
      <c r="BP93" s="5"/>
      <c r="BQ93" s="5"/>
      <c r="BR93" s="5"/>
      <c r="BS93" s="5"/>
      <c r="BU93" s="4"/>
      <c r="BV93" s="4"/>
      <c r="BW93" s="4"/>
      <c r="BX93" s="4"/>
    </row>
    <row r="94" spans="1:76" ht="15.75" customHeight="1">
      <c r="D94" s="5"/>
      <c r="E94" s="5"/>
      <c r="F94" s="5"/>
      <c r="G94" s="5"/>
      <c r="H94" s="5"/>
      <c r="I94" s="5"/>
      <c r="K94" s="5"/>
      <c r="L94" s="5"/>
      <c r="M94" s="5"/>
      <c r="N94" s="5"/>
      <c r="O94" s="5"/>
      <c r="P94" s="5"/>
      <c r="R94" s="5"/>
      <c r="S94" s="5"/>
      <c r="T94" s="5"/>
      <c r="U94" s="5"/>
      <c r="V94" s="5"/>
      <c r="W94" s="5"/>
      <c r="Y94" s="5"/>
      <c r="Z94" s="5"/>
      <c r="AA94" s="5"/>
      <c r="AB94" s="5"/>
      <c r="AC94" s="5"/>
      <c r="AD94" s="5"/>
      <c r="AF94" s="5"/>
      <c r="AG94" s="5"/>
      <c r="AH94" s="5"/>
      <c r="AI94" s="5"/>
      <c r="AJ94" s="5"/>
      <c r="AK94" s="5"/>
      <c r="AM94" s="5"/>
      <c r="AN94" s="5"/>
      <c r="AO94" s="5"/>
      <c r="AP94" s="5"/>
      <c r="AQ94" s="5"/>
      <c r="AR94" s="5"/>
      <c r="AT94" s="5"/>
      <c r="AU94" s="5"/>
      <c r="AV94" s="5"/>
      <c r="AW94" s="5"/>
      <c r="AX94" s="5"/>
      <c r="AY94" s="5"/>
      <c r="BA94" s="5"/>
      <c r="BB94" s="5"/>
      <c r="BC94" s="5"/>
      <c r="BD94" s="5"/>
      <c r="BE94" s="5"/>
      <c r="BF94" s="5"/>
      <c r="BH94" s="5"/>
      <c r="BI94" s="5"/>
      <c r="BJ94" s="5"/>
      <c r="BK94" s="5"/>
      <c r="BL94" s="5"/>
      <c r="BM94" s="5"/>
      <c r="BO94" s="5"/>
      <c r="BP94" s="5"/>
      <c r="BQ94" s="5"/>
      <c r="BR94" s="5"/>
      <c r="BS94" s="5"/>
      <c r="BU94" s="4"/>
      <c r="BV94" s="4"/>
      <c r="BW94" s="4"/>
      <c r="BX94" s="4"/>
    </row>
    <row r="95" spans="1:76" ht="15.75" customHeight="1">
      <c r="D95" s="5"/>
      <c r="E95" s="5"/>
      <c r="F95" s="5"/>
      <c r="G95" s="5"/>
      <c r="H95" s="5"/>
      <c r="I95" s="5"/>
      <c r="K95" s="5"/>
      <c r="L95" s="5"/>
      <c r="M95" s="5"/>
      <c r="N95" s="5"/>
      <c r="O95" s="5"/>
      <c r="P95" s="5"/>
      <c r="R95" s="5"/>
      <c r="S95" s="5"/>
      <c r="T95" s="5"/>
      <c r="U95" s="5"/>
      <c r="V95" s="5"/>
      <c r="W95" s="5"/>
      <c r="Y95" s="5"/>
      <c r="Z95" s="5"/>
      <c r="AA95" s="5"/>
      <c r="AB95" s="5"/>
      <c r="AC95" s="5"/>
      <c r="AD95" s="5"/>
      <c r="AF95" s="5"/>
      <c r="AG95" s="5"/>
      <c r="AH95" s="5"/>
      <c r="AI95" s="5"/>
      <c r="AJ95" s="5"/>
      <c r="AK95" s="5"/>
      <c r="AM95" s="5"/>
      <c r="AN95" s="5"/>
      <c r="AO95" s="5"/>
      <c r="AP95" s="5"/>
      <c r="AQ95" s="5"/>
      <c r="AR95" s="5"/>
      <c r="AT95" s="5"/>
      <c r="AU95" s="5"/>
      <c r="AV95" s="5"/>
      <c r="AW95" s="5"/>
      <c r="AX95" s="5"/>
      <c r="AY95" s="5"/>
      <c r="BA95" s="5"/>
      <c r="BB95" s="5"/>
      <c r="BC95" s="5"/>
      <c r="BD95" s="5"/>
      <c r="BE95" s="5"/>
      <c r="BF95" s="5"/>
      <c r="BH95" s="5"/>
      <c r="BI95" s="5"/>
      <c r="BJ95" s="5"/>
      <c r="BK95" s="5"/>
      <c r="BL95" s="5"/>
      <c r="BM95" s="5"/>
      <c r="BO95" s="5"/>
      <c r="BP95" s="5"/>
      <c r="BQ95" s="5"/>
      <c r="BR95" s="5"/>
      <c r="BS95" s="5"/>
      <c r="BU95" s="4"/>
      <c r="BV95" s="4"/>
      <c r="BW95" s="4"/>
      <c r="BX95" s="4"/>
    </row>
    <row r="96" spans="1:76" ht="15.75" customHeight="1">
      <c r="D96" s="5"/>
      <c r="E96" s="5"/>
      <c r="F96" s="5"/>
      <c r="G96" s="5"/>
      <c r="H96" s="5"/>
      <c r="I96" s="5"/>
      <c r="K96" s="5"/>
      <c r="L96" s="5"/>
      <c r="M96" s="5"/>
      <c r="N96" s="5"/>
      <c r="O96" s="5"/>
      <c r="P96" s="5"/>
      <c r="R96" s="5"/>
      <c r="S96" s="5"/>
      <c r="T96" s="5"/>
      <c r="U96" s="5"/>
      <c r="V96" s="5"/>
      <c r="W96" s="5"/>
      <c r="Y96" s="5"/>
      <c r="Z96" s="5"/>
      <c r="AA96" s="5"/>
      <c r="AB96" s="5"/>
      <c r="AC96" s="5"/>
      <c r="AD96" s="5"/>
      <c r="AF96" s="5"/>
      <c r="AG96" s="5"/>
      <c r="AH96" s="5"/>
      <c r="AI96" s="5"/>
      <c r="AJ96" s="5"/>
      <c r="AK96" s="5"/>
      <c r="AM96" s="5"/>
      <c r="AN96" s="5"/>
      <c r="AO96" s="5"/>
      <c r="AP96" s="5"/>
      <c r="AQ96" s="5"/>
      <c r="AR96" s="5"/>
      <c r="AT96" s="5"/>
      <c r="AU96" s="5"/>
      <c r="AV96" s="5"/>
      <c r="AW96" s="5"/>
      <c r="AX96" s="5"/>
      <c r="AY96" s="5"/>
      <c r="BA96" s="5"/>
      <c r="BB96" s="5"/>
      <c r="BC96" s="5"/>
      <c r="BD96" s="5"/>
      <c r="BE96" s="5"/>
      <c r="BF96" s="5"/>
      <c r="BH96" s="5"/>
      <c r="BI96" s="5"/>
      <c r="BJ96" s="5"/>
      <c r="BK96" s="5"/>
      <c r="BL96" s="5"/>
      <c r="BM96" s="5"/>
      <c r="BO96" s="5"/>
      <c r="BP96" s="5"/>
      <c r="BQ96" s="5"/>
      <c r="BR96" s="5"/>
      <c r="BS96" s="5"/>
      <c r="BU96" s="4"/>
      <c r="BV96" s="4"/>
      <c r="BW96" s="4"/>
      <c r="BX96" s="4"/>
    </row>
    <row r="97" spans="4:76" ht="15.75" customHeight="1">
      <c r="D97" s="5"/>
      <c r="E97" s="5"/>
      <c r="F97" s="5"/>
      <c r="G97" s="5"/>
      <c r="H97" s="5"/>
      <c r="I97" s="5"/>
      <c r="K97" s="5"/>
      <c r="L97" s="5"/>
      <c r="M97" s="5"/>
      <c r="N97" s="5"/>
      <c r="O97" s="5"/>
      <c r="P97" s="5"/>
      <c r="R97" s="5"/>
      <c r="S97" s="5"/>
      <c r="T97" s="5"/>
      <c r="U97" s="5"/>
      <c r="V97" s="5"/>
      <c r="W97" s="5"/>
      <c r="Y97" s="5"/>
      <c r="Z97" s="5"/>
      <c r="AA97" s="5"/>
      <c r="AB97" s="5"/>
      <c r="AC97" s="5"/>
      <c r="AD97" s="5"/>
      <c r="AF97" s="5"/>
      <c r="AG97" s="5"/>
      <c r="AH97" s="5"/>
      <c r="AI97" s="5"/>
      <c r="AJ97" s="5"/>
      <c r="AK97" s="5"/>
      <c r="AM97" s="5"/>
      <c r="AN97" s="5"/>
      <c r="AO97" s="5"/>
      <c r="AP97" s="5"/>
      <c r="AQ97" s="5"/>
      <c r="AR97" s="5"/>
      <c r="AT97" s="5"/>
      <c r="AU97" s="5"/>
      <c r="AV97" s="5"/>
      <c r="AW97" s="5"/>
      <c r="AX97" s="5"/>
      <c r="AY97" s="5"/>
      <c r="BA97" s="5"/>
      <c r="BB97" s="5"/>
      <c r="BC97" s="5"/>
      <c r="BD97" s="5"/>
      <c r="BE97" s="5"/>
      <c r="BF97" s="5"/>
      <c r="BH97" s="5"/>
      <c r="BI97" s="5"/>
      <c r="BJ97" s="5"/>
      <c r="BK97" s="5"/>
      <c r="BL97" s="5"/>
      <c r="BM97" s="5"/>
      <c r="BO97" s="5"/>
      <c r="BP97" s="5"/>
      <c r="BQ97" s="5"/>
      <c r="BR97" s="5"/>
      <c r="BS97" s="5"/>
      <c r="BU97" s="4"/>
      <c r="BV97" s="4"/>
      <c r="BW97" s="4"/>
      <c r="BX97" s="4"/>
    </row>
    <row r="98" spans="4:76" ht="15.75" customHeight="1">
      <c r="D98" s="5"/>
      <c r="E98" s="5"/>
      <c r="F98" s="5"/>
      <c r="G98" s="5"/>
      <c r="H98" s="5"/>
      <c r="I98" s="5"/>
      <c r="K98" s="5"/>
      <c r="L98" s="5"/>
      <c r="M98" s="5"/>
      <c r="N98" s="5"/>
      <c r="O98" s="5"/>
      <c r="P98" s="5"/>
      <c r="R98" s="5"/>
      <c r="S98" s="5"/>
      <c r="T98" s="5"/>
      <c r="U98" s="5"/>
      <c r="V98" s="5"/>
      <c r="W98" s="5"/>
      <c r="Y98" s="5"/>
      <c r="Z98" s="5"/>
      <c r="AA98" s="5"/>
      <c r="AB98" s="5"/>
      <c r="AC98" s="5"/>
      <c r="AD98" s="5"/>
      <c r="AF98" s="5"/>
      <c r="AG98" s="5"/>
      <c r="AH98" s="5"/>
      <c r="AI98" s="5"/>
      <c r="AJ98" s="5"/>
      <c r="AK98" s="5"/>
      <c r="AM98" s="5"/>
      <c r="AN98" s="5"/>
      <c r="AO98" s="5"/>
      <c r="AP98" s="5"/>
      <c r="AQ98" s="5"/>
      <c r="AR98" s="5"/>
      <c r="AT98" s="5"/>
      <c r="AU98" s="5"/>
      <c r="AV98" s="5"/>
      <c r="AW98" s="5"/>
      <c r="AX98" s="5"/>
      <c r="AY98" s="5"/>
      <c r="BA98" s="5"/>
      <c r="BB98" s="5"/>
      <c r="BC98" s="5"/>
      <c r="BD98" s="5"/>
      <c r="BE98" s="5"/>
      <c r="BF98" s="5"/>
      <c r="BH98" s="5"/>
      <c r="BI98" s="5"/>
      <c r="BJ98" s="5"/>
      <c r="BK98" s="5"/>
      <c r="BL98" s="5"/>
      <c r="BM98" s="5"/>
      <c r="BO98" s="5"/>
      <c r="BP98" s="5"/>
      <c r="BQ98" s="5"/>
      <c r="BR98" s="5"/>
      <c r="BS98" s="5"/>
      <c r="BU98" s="4"/>
      <c r="BV98" s="4"/>
      <c r="BW98" s="4"/>
      <c r="BX98" s="4"/>
    </row>
    <row r="99" spans="4:76" ht="15.75" customHeight="1">
      <c r="D99" s="5"/>
      <c r="E99" s="5"/>
      <c r="F99" s="5"/>
      <c r="G99" s="5"/>
      <c r="H99" s="5"/>
      <c r="I99" s="5"/>
      <c r="K99" s="5"/>
      <c r="L99" s="5"/>
      <c r="M99" s="5"/>
      <c r="N99" s="5"/>
      <c r="O99" s="5"/>
      <c r="P99" s="5"/>
      <c r="R99" s="5"/>
      <c r="S99" s="5"/>
      <c r="T99" s="5"/>
      <c r="U99" s="5"/>
      <c r="V99" s="5"/>
      <c r="W99" s="5"/>
      <c r="Y99" s="5"/>
      <c r="Z99" s="5"/>
      <c r="AA99" s="5"/>
      <c r="AB99" s="5"/>
      <c r="AC99" s="5"/>
      <c r="AD99" s="5"/>
      <c r="AF99" s="5"/>
      <c r="AG99" s="5"/>
      <c r="AH99" s="5"/>
      <c r="AI99" s="5"/>
      <c r="AJ99" s="5"/>
      <c r="AK99" s="5"/>
      <c r="AM99" s="5"/>
      <c r="AN99" s="5"/>
      <c r="AO99" s="5"/>
      <c r="AP99" s="5"/>
      <c r="AQ99" s="5"/>
      <c r="AR99" s="5"/>
      <c r="AT99" s="5"/>
      <c r="AU99" s="5"/>
      <c r="AV99" s="5"/>
      <c r="AW99" s="5"/>
      <c r="AX99" s="5"/>
      <c r="AY99" s="5"/>
      <c r="BA99" s="5"/>
      <c r="BB99" s="5"/>
      <c r="BC99" s="5"/>
      <c r="BD99" s="5"/>
      <c r="BE99" s="5"/>
      <c r="BF99" s="5"/>
      <c r="BH99" s="5"/>
      <c r="BI99" s="5"/>
      <c r="BJ99" s="5"/>
      <c r="BK99" s="5"/>
      <c r="BL99" s="5"/>
      <c r="BM99" s="5"/>
      <c r="BO99" s="5"/>
      <c r="BP99" s="5"/>
      <c r="BQ99" s="5"/>
      <c r="BR99" s="5"/>
      <c r="BS99" s="5"/>
      <c r="BU99" s="4"/>
      <c r="BV99" s="4"/>
      <c r="BW99" s="4"/>
      <c r="BX99" s="4"/>
    </row>
    <row r="100" spans="4:76" ht="15.75" customHeight="1">
      <c r="D100" s="5"/>
      <c r="E100" s="5"/>
      <c r="F100" s="5"/>
      <c r="G100" s="5"/>
      <c r="H100" s="5"/>
      <c r="I100" s="5"/>
      <c r="K100" s="5"/>
      <c r="L100" s="5"/>
      <c r="M100" s="5"/>
      <c r="N100" s="5"/>
      <c r="O100" s="5"/>
      <c r="P100" s="5"/>
      <c r="R100" s="5"/>
      <c r="S100" s="5"/>
      <c r="T100" s="5"/>
      <c r="U100" s="5"/>
      <c r="V100" s="5"/>
      <c r="W100" s="5"/>
      <c r="Y100" s="5"/>
      <c r="Z100" s="5"/>
      <c r="AA100" s="5"/>
      <c r="AB100" s="5"/>
      <c r="AC100" s="5"/>
      <c r="AD100" s="5"/>
      <c r="AF100" s="5"/>
      <c r="AG100" s="5"/>
      <c r="AH100" s="5"/>
      <c r="AI100" s="5"/>
      <c r="AJ100" s="5"/>
      <c r="AK100" s="5"/>
      <c r="AM100" s="5"/>
      <c r="AN100" s="5"/>
      <c r="AO100" s="5"/>
      <c r="AP100" s="5"/>
      <c r="AQ100" s="5"/>
      <c r="AR100" s="5"/>
      <c r="AT100" s="5"/>
      <c r="AU100" s="5"/>
      <c r="AV100" s="5"/>
      <c r="AW100" s="5"/>
      <c r="AX100" s="5"/>
      <c r="AY100" s="5"/>
      <c r="BA100" s="5"/>
      <c r="BB100" s="5"/>
      <c r="BC100" s="5"/>
      <c r="BD100" s="5"/>
      <c r="BE100" s="5"/>
      <c r="BF100" s="5"/>
      <c r="BH100" s="5"/>
      <c r="BI100" s="5"/>
      <c r="BJ100" s="5"/>
      <c r="BK100" s="5"/>
      <c r="BL100" s="5"/>
      <c r="BM100" s="5"/>
      <c r="BO100" s="5"/>
      <c r="BP100" s="5"/>
      <c r="BQ100" s="5"/>
      <c r="BR100" s="5"/>
      <c r="BS100" s="5"/>
      <c r="BU100" s="4"/>
      <c r="BV100" s="4"/>
      <c r="BW100" s="4"/>
      <c r="BX100" s="4"/>
    </row>
    <row r="101" spans="4:76" ht="15.75" customHeight="1">
      <c r="D101" s="5"/>
      <c r="E101" s="5"/>
      <c r="F101" s="5"/>
      <c r="G101" s="5"/>
      <c r="H101" s="5"/>
      <c r="I101" s="5"/>
      <c r="K101" s="5"/>
      <c r="L101" s="5"/>
      <c r="M101" s="5"/>
      <c r="N101" s="5"/>
      <c r="O101" s="5"/>
      <c r="P101" s="5"/>
      <c r="R101" s="5"/>
      <c r="S101" s="5"/>
      <c r="T101" s="5"/>
      <c r="U101" s="5"/>
      <c r="V101" s="5"/>
      <c r="W101" s="5"/>
      <c r="Y101" s="5"/>
      <c r="Z101" s="5"/>
      <c r="AA101" s="5"/>
      <c r="AB101" s="5"/>
      <c r="AC101" s="5"/>
      <c r="AD101" s="5"/>
      <c r="AF101" s="5"/>
      <c r="AG101" s="5"/>
      <c r="AH101" s="5"/>
      <c r="AI101" s="5"/>
      <c r="AJ101" s="5"/>
      <c r="AK101" s="5"/>
      <c r="AM101" s="5"/>
      <c r="AN101" s="5"/>
      <c r="AO101" s="5"/>
      <c r="AP101" s="5"/>
      <c r="AQ101" s="5"/>
      <c r="AR101" s="5"/>
      <c r="AT101" s="5"/>
      <c r="AU101" s="5"/>
      <c r="AV101" s="5"/>
      <c r="AW101" s="5"/>
      <c r="AX101" s="5"/>
      <c r="AY101" s="5"/>
      <c r="BA101" s="5"/>
      <c r="BB101" s="5"/>
      <c r="BC101" s="5"/>
      <c r="BD101" s="5"/>
      <c r="BE101" s="5"/>
      <c r="BF101" s="5"/>
      <c r="BH101" s="5"/>
      <c r="BI101" s="5"/>
      <c r="BJ101" s="5"/>
      <c r="BK101" s="5"/>
      <c r="BL101" s="5"/>
      <c r="BM101" s="5"/>
      <c r="BO101" s="5"/>
      <c r="BP101" s="5"/>
      <c r="BQ101" s="5"/>
      <c r="BR101" s="5"/>
      <c r="BS101" s="5"/>
      <c r="BU101" s="4"/>
      <c r="BV101" s="4"/>
      <c r="BW101" s="4"/>
      <c r="BX101" s="4"/>
    </row>
    <row r="102" spans="4:76" ht="15.75" customHeight="1">
      <c r="D102" s="5"/>
      <c r="E102" s="5"/>
      <c r="F102" s="5"/>
      <c r="G102" s="5"/>
      <c r="H102" s="5"/>
      <c r="I102" s="5"/>
      <c r="K102" s="5"/>
      <c r="L102" s="5"/>
      <c r="M102" s="5"/>
      <c r="N102" s="5"/>
      <c r="O102" s="5"/>
      <c r="P102" s="5"/>
      <c r="R102" s="5"/>
      <c r="S102" s="5"/>
      <c r="T102" s="5"/>
      <c r="U102" s="5"/>
      <c r="V102" s="5"/>
      <c r="W102" s="5"/>
      <c r="Y102" s="5"/>
      <c r="Z102" s="5"/>
      <c r="AA102" s="5"/>
      <c r="AB102" s="5"/>
      <c r="AC102" s="5"/>
      <c r="AD102" s="5"/>
      <c r="AF102" s="5"/>
      <c r="AG102" s="5"/>
      <c r="AH102" s="5"/>
      <c r="AI102" s="5"/>
      <c r="AJ102" s="5"/>
      <c r="AK102" s="5"/>
      <c r="AM102" s="5"/>
      <c r="AN102" s="5"/>
      <c r="AO102" s="5"/>
      <c r="AP102" s="5"/>
      <c r="AQ102" s="5"/>
      <c r="AR102" s="5"/>
      <c r="AT102" s="5"/>
      <c r="AU102" s="5"/>
      <c r="AV102" s="5"/>
      <c r="AW102" s="5"/>
      <c r="AX102" s="5"/>
      <c r="AY102" s="5"/>
      <c r="BA102" s="5"/>
      <c r="BB102" s="5"/>
      <c r="BC102" s="5"/>
      <c r="BD102" s="5"/>
      <c r="BE102" s="5"/>
      <c r="BF102" s="5"/>
      <c r="BH102" s="5"/>
      <c r="BI102" s="5"/>
      <c r="BJ102" s="5"/>
      <c r="BK102" s="5"/>
      <c r="BL102" s="5"/>
      <c r="BM102" s="5"/>
      <c r="BO102" s="5"/>
      <c r="BP102" s="5"/>
      <c r="BQ102" s="5"/>
      <c r="BR102" s="5"/>
      <c r="BS102" s="5"/>
      <c r="BU102" s="4"/>
      <c r="BV102" s="4"/>
      <c r="BW102" s="4"/>
      <c r="BX102" s="4"/>
    </row>
    <row r="103" spans="4:76" ht="15.75" customHeight="1">
      <c r="D103" s="5"/>
      <c r="E103" s="5"/>
      <c r="F103" s="5"/>
      <c r="G103" s="5"/>
      <c r="H103" s="5"/>
      <c r="I103" s="5"/>
      <c r="K103" s="5"/>
      <c r="L103" s="5"/>
      <c r="M103" s="5"/>
      <c r="N103" s="5"/>
      <c r="O103" s="5"/>
      <c r="P103" s="5"/>
      <c r="R103" s="5"/>
      <c r="S103" s="5"/>
      <c r="T103" s="5"/>
      <c r="U103" s="5"/>
      <c r="V103" s="5"/>
      <c r="W103" s="5"/>
      <c r="Y103" s="5"/>
      <c r="Z103" s="5"/>
      <c r="AA103" s="5"/>
      <c r="AB103" s="5"/>
      <c r="AC103" s="5"/>
      <c r="AD103" s="5"/>
      <c r="AF103" s="5"/>
      <c r="AG103" s="5"/>
      <c r="AH103" s="5"/>
      <c r="AI103" s="5"/>
      <c r="AJ103" s="5"/>
      <c r="AK103" s="5"/>
      <c r="AM103" s="5"/>
      <c r="AN103" s="5"/>
      <c r="AO103" s="5"/>
      <c r="AP103" s="5"/>
      <c r="AQ103" s="5"/>
      <c r="AR103" s="5"/>
      <c r="AT103" s="5"/>
      <c r="AU103" s="5"/>
      <c r="AV103" s="5"/>
      <c r="AW103" s="5"/>
      <c r="AX103" s="5"/>
      <c r="AY103" s="5"/>
      <c r="BA103" s="5"/>
      <c r="BB103" s="5"/>
      <c r="BC103" s="5"/>
      <c r="BD103" s="5"/>
      <c r="BE103" s="5"/>
      <c r="BF103" s="5"/>
      <c r="BH103" s="5"/>
      <c r="BI103" s="5"/>
      <c r="BJ103" s="5"/>
      <c r="BK103" s="5"/>
      <c r="BL103" s="5"/>
      <c r="BM103" s="5"/>
      <c r="BO103" s="5"/>
      <c r="BP103" s="5"/>
      <c r="BQ103" s="5"/>
      <c r="BR103" s="5"/>
      <c r="BS103" s="5"/>
      <c r="BU103" s="4"/>
      <c r="BV103" s="4"/>
      <c r="BW103" s="4"/>
      <c r="BX103" s="4"/>
    </row>
    <row r="104" spans="4:76" ht="15.75" customHeight="1">
      <c r="D104" s="5"/>
      <c r="E104" s="5"/>
      <c r="F104" s="5"/>
      <c r="G104" s="5"/>
      <c r="H104" s="5"/>
      <c r="I104" s="5"/>
      <c r="K104" s="5"/>
      <c r="L104" s="5"/>
      <c r="M104" s="5"/>
      <c r="N104" s="5"/>
      <c r="O104" s="5"/>
      <c r="P104" s="5"/>
      <c r="R104" s="5"/>
      <c r="S104" s="5"/>
      <c r="T104" s="5"/>
      <c r="U104" s="5"/>
      <c r="V104" s="5"/>
      <c r="W104" s="5"/>
      <c r="Y104" s="5"/>
      <c r="Z104" s="5"/>
      <c r="AA104" s="5"/>
      <c r="AB104" s="5"/>
      <c r="AC104" s="5"/>
      <c r="AD104" s="5"/>
      <c r="AF104" s="5"/>
      <c r="AG104" s="5"/>
      <c r="AH104" s="5"/>
      <c r="AI104" s="5"/>
      <c r="AJ104" s="5"/>
      <c r="AK104" s="5"/>
      <c r="AM104" s="5"/>
      <c r="AN104" s="5"/>
      <c r="AO104" s="5"/>
      <c r="AP104" s="5"/>
      <c r="AQ104" s="5"/>
      <c r="AR104" s="5"/>
      <c r="AT104" s="5"/>
      <c r="AU104" s="5"/>
      <c r="AV104" s="5"/>
      <c r="AW104" s="5"/>
      <c r="AX104" s="5"/>
      <c r="AY104" s="5"/>
      <c r="BA104" s="5"/>
      <c r="BB104" s="5"/>
      <c r="BC104" s="5"/>
      <c r="BD104" s="5"/>
      <c r="BE104" s="5"/>
      <c r="BF104" s="5"/>
      <c r="BH104" s="5"/>
      <c r="BI104" s="5"/>
      <c r="BJ104" s="5"/>
      <c r="BK104" s="5"/>
      <c r="BL104" s="5"/>
      <c r="BM104" s="5"/>
      <c r="BO104" s="5"/>
      <c r="BP104" s="5"/>
      <c r="BQ104" s="5"/>
      <c r="BR104" s="5"/>
      <c r="BS104" s="5"/>
      <c r="BU104" s="4"/>
      <c r="BV104" s="4"/>
      <c r="BW104" s="4"/>
      <c r="BX104" s="4"/>
    </row>
    <row r="105" spans="4:76" ht="15.75" customHeight="1">
      <c r="D105" s="5"/>
      <c r="E105" s="5"/>
      <c r="F105" s="5"/>
      <c r="G105" s="5"/>
      <c r="H105" s="5"/>
      <c r="I105" s="5"/>
      <c r="K105" s="5"/>
      <c r="L105" s="5"/>
      <c r="M105" s="5"/>
      <c r="N105" s="5"/>
      <c r="O105" s="5"/>
      <c r="P105" s="5"/>
      <c r="R105" s="5"/>
      <c r="S105" s="5"/>
      <c r="T105" s="5"/>
      <c r="U105" s="5"/>
      <c r="V105" s="5"/>
      <c r="W105" s="5"/>
      <c r="Y105" s="5"/>
      <c r="Z105" s="5"/>
      <c r="AA105" s="5"/>
      <c r="AB105" s="5"/>
      <c r="AC105" s="5"/>
      <c r="AD105" s="5"/>
      <c r="AF105" s="5"/>
      <c r="AG105" s="5"/>
      <c r="AH105" s="5"/>
      <c r="AI105" s="5"/>
      <c r="AJ105" s="5"/>
      <c r="AK105" s="5"/>
      <c r="AM105" s="5"/>
      <c r="AN105" s="5"/>
      <c r="AO105" s="5"/>
      <c r="AP105" s="5"/>
      <c r="AQ105" s="5"/>
      <c r="AR105" s="5"/>
      <c r="AT105" s="5"/>
      <c r="AU105" s="5"/>
      <c r="AV105" s="5"/>
      <c r="AW105" s="5"/>
      <c r="AX105" s="5"/>
      <c r="AY105" s="5"/>
      <c r="BA105" s="5"/>
      <c r="BB105" s="5"/>
      <c r="BC105" s="5"/>
      <c r="BD105" s="5"/>
      <c r="BE105" s="5"/>
      <c r="BF105" s="5"/>
      <c r="BH105" s="5"/>
      <c r="BI105" s="5"/>
      <c r="BJ105" s="5"/>
      <c r="BK105" s="5"/>
      <c r="BL105" s="5"/>
      <c r="BM105" s="5"/>
      <c r="BO105" s="5"/>
      <c r="BP105" s="5"/>
      <c r="BQ105" s="5"/>
      <c r="BR105" s="5"/>
      <c r="BS105" s="5"/>
      <c r="BU105" s="4"/>
      <c r="BV105" s="4"/>
      <c r="BW105" s="4"/>
      <c r="BX105" s="4"/>
    </row>
    <row r="106" spans="4:76" ht="15.75" customHeight="1">
      <c r="D106" s="5"/>
      <c r="E106" s="5"/>
      <c r="F106" s="5"/>
      <c r="G106" s="5"/>
      <c r="H106" s="5"/>
      <c r="I106" s="5"/>
      <c r="K106" s="5"/>
      <c r="L106" s="5"/>
      <c r="M106" s="5"/>
      <c r="N106" s="5"/>
      <c r="O106" s="5"/>
      <c r="P106" s="5"/>
      <c r="R106" s="5"/>
      <c r="S106" s="5"/>
      <c r="T106" s="5"/>
      <c r="U106" s="5"/>
      <c r="V106" s="5"/>
      <c r="W106" s="5"/>
      <c r="Y106" s="5"/>
      <c r="Z106" s="5"/>
      <c r="AA106" s="5"/>
      <c r="AB106" s="5"/>
      <c r="AC106" s="5"/>
      <c r="AD106" s="5"/>
      <c r="AF106" s="5"/>
      <c r="AG106" s="5"/>
      <c r="AH106" s="5"/>
      <c r="AI106" s="5"/>
      <c r="AJ106" s="5"/>
      <c r="AK106" s="5"/>
      <c r="AM106" s="5"/>
      <c r="AN106" s="5"/>
      <c r="AO106" s="5"/>
      <c r="AP106" s="5"/>
      <c r="AQ106" s="5"/>
      <c r="AR106" s="5"/>
      <c r="AT106" s="5"/>
      <c r="AU106" s="5"/>
      <c r="AV106" s="5"/>
      <c r="AW106" s="5"/>
      <c r="AX106" s="5"/>
      <c r="AY106" s="5"/>
      <c r="BA106" s="5"/>
      <c r="BB106" s="5"/>
      <c r="BC106" s="5"/>
      <c r="BD106" s="5"/>
      <c r="BE106" s="5"/>
      <c r="BF106" s="5"/>
      <c r="BH106" s="5"/>
      <c r="BI106" s="5"/>
      <c r="BJ106" s="5"/>
      <c r="BK106" s="5"/>
      <c r="BL106" s="5"/>
      <c r="BM106" s="5"/>
      <c r="BO106" s="5"/>
      <c r="BP106" s="5"/>
      <c r="BQ106" s="5"/>
      <c r="BR106" s="5"/>
      <c r="BS106" s="5"/>
      <c r="BU106" s="4"/>
      <c r="BV106" s="4"/>
      <c r="BW106" s="4"/>
      <c r="BX106" s="4"/>
    </row>
    <row r="107" spans="4:76" ht="15.75" customHeight="1">
      <c r="D107" s="5"/>
      <c r="E107" s="5"/>
      <c r="F107" s="5"/>
      <c r="G107" s="5"/>
      <c r="H107" s="5"/>
      <c r="I107" s="5"/>
      <c r="K107" s="5"/>
      <c r="L107" s="5"/>
      <c r="M107" s="5"/>
      <c r="N107" s="5"/>
      <c r="O107" s="5"/>
      <c r="P107" s="5"/>
      <c r="R107" s="5"/>
      <c r="S107" s="5"/>
      <c r="T107" s="5"/>
      <c r="U107" s="5"/>
      <c r="V107" s="5"/>
      <c r="W107" s="5"/>
      <c r="Y107" s="5"/>
      <c r="Z107" s="5"/>
      <c r="AA107" s="5"/>
      <c r="AB107" s="5"/>
      <c r="AC107" s="5"/>
      <c r="AD107" s="5"/>
      <c r="AF107" s="5"/>
      <c r="AG107" s="5"/>
      <c r="AH107" s="5"/>
      <c r="AI107" s="5"/>
      <c r="AJ107" s="5"/>
      <c r="AK107" s="5"/>
      <c r="AM107" s="5"/>
      <c r="AN107" s="5"/>
      <c r="AO107" s="5"/>
      <c r="AP107" s="5"/>
      <c r="AQ107" s="5"/>
      <c r="AR107" s="5"/>
      <c r="AT107" s="5"/>
      <c r="AU107" s="5"/>
      <c r="AV107" s="5"/>
      <c r="AW107" s="5"/>
      <c r="AX107" s="5"/>
      <c r="AY107" s="5"/>
      <c r="BA107" s="5"/>
      <c r="BB107" s="5"/>
      <c r="BC107" s="5"/>
      <c r="BD107" s="5"/>
      <c r="BE107" s="5"/>
      <c r="BF107" s="5"/>
      <c r="BH107" s="5"/>
      <c r="BI107" s="5"/>
      <c r="BJ107" s="5"/>
      <c r="BK107" s="5"/>
      <c r="BL107" s="5"/>
      <c r="BM107" s="5"/>
      <c r="BO107" s="5"/>
      <c r="BP107" s="5"/>
      <c r="BQ107" s="5"/>
      <c r="BR107" s="5"/>
      <c r="BS107" s="5"/>
      <c r="BU107" s="4"/>
      <c r="BV107" s="4"/>
      <c r="BW107" s="4"/>
      <c r="BX107" s="4"/>
    </row>
    <row r="108" spans="4:76" ht="15.75" customHeight="1">
      <c r="D108" s="5"/>
      <c r="E108" s="5"/>
      <c r="F108" s="5"/>
      <c r="G108" s="5"/>
      <c r="H108" s="5"/>
      <c r="I108" s="5"/>
      <c r="K108" s="5"/>
      <c r="L108" s="5"/>
      <c r="M108" s="5"/>
      <c r="N108" s="5"/>
      <c r="O108" s="5"/>
      <c r="P108" s="5"/>
      <c r="R108" s="5"/>
      <c r="S108" s="5"/>
      <c r="T108" s="5"/>
      <c r="U108" s="5"/>
      <c r="V108" s="5"/>
      <c r="W108" s="5"/>
      <c r="Y108" s="5"/>
      <c r="Z108" s="5"/>
      <c r="AA108" s="5"/>
      <c r="AB108" s="5"/>
      <c r="AC108" s="5"/>
      <c r="AD108" s="5"/>
      <c r="AF108" s="5"/>
      <c r="AG108" s="5"/>
      <c r="AH108" s="5"/>
      <c r="AI108" s="5"/>
      <c r="AJ108" s="5"/>
      <c r="AK108" s="5"/>
      <c r="AM108" s="5"/>
      <c r="AN108" s="5"/>
      <c r="AO108" s="5"/>
      <c r="AP108" s="5"/>
      <c r="AQ108" s="5"/>
      <c r="AR108" s="5"/>
      <c r="AT108" s="5"/>
      <c r="AU108" s="5"/>
      <c r="AV108" s="5"/>
      <c r="AW108" s="5"/>
      <c r="AX108" s="5"/>
      <c r="AY108" s="5"/>
      <c r="BA108" s="5"/>
      <c r="BB108" s="5"/>
      <c r="BC108" s="5"/>
      <c r="BD108" s="5"/>
      <c r="BE108" s="5"/>
      <c r="BF108" s="5"/>
      <c r="BH108" s="5"/>
      <c r="BI108" s="5"/>
      <c r="BJ108" s="5"/>
      <c r="BK108" s="5"/>
      <c r="BL108" s="5"/>
      <c r="BM108" s="5"/>
      <c r="BO108" s="5"/>
      <c r="BP108" s="5"/>
      <c r="BQ108" s="5"/>
      <c r="BR108" s="5"/>
      <c r="BS108" s="5"/>
      <c r="BU108" s="4"/>
      <c r="BV108" s="4"/>
      <c r="BW108" s="4"/>
      <c r="BX108" s="4"/>
    </row>
    <row r="109" spans="4:76" ht="15.75" customHeight="1">
      <c r="D109" s="5"/>
      <c r="E109" s="5"/>
      <c r="F109" s="5"/>
      <c r="G109" s="5"/>
      <c r="H109" s="5"/>
      <c r="I109" s="5"/>
      <c r="K109" s="5"/>
      <c r="L109" s="5"/>
      <c r="M109" s="5"/>
      <c r="N109" s="5"/>
      <c r="O109" s="5"/>
      <c r="P109" s="5"/>
      <c r="R109" s="5"/>
      <c r="S109" s="5"/>
      <c r="T109" s="5"/>
      <c r="U109" s="5"/>
      <c r="V109" s="5"/>
      <c r="W109" s="5"/>
      <c r="Y109" s="5"/>
      <c r="Z109" s="5"/>
      <c r="AA109" s="5"/>
      <c r="AB109" s="5"/>
      <c r="AC109" s="5"/>
      <c r="AD109" s="5"/>
      <c r="AF109" s="5"/>
      <c r="AG109" s="5"/>
      <c r="AH109" s="5"/>
      <c r="AI109" s="5"/>
      <c r="AJ109" s="5"/>
      <c r="AK109" s="5"/>
      <c r="AM109" s="5"/>
      <c r="AN109" s="5"/>
      <c r="AO109" s="5"/>
      <c r="AP109" s="5"/>
      <c r="AQ109" s="5"/>
      <c r="AR109" s="5"/>
      <c r="AT109" s="5"/>
      <c r="AU109" s="5"/>
      <c r="AV109" s="5"/>
      <c r="AW109" s="5"/>
      <c r="AX109" s="5"/>
      <c r="AY109" s="5"/>
      <c r="BA109" s="5"/>
      <c r="BB109" s="5"/>
      <c r="BC109" s="5"/>
      <c r="BD109" s="5"/>
      <c r="BE109" s="5"/>
      <c r="BF109" s="5"/>
      <c r="BH109" s="5"/>
      <c r="BI109" s="5"/>
      <c r="BJ109" s="5"/>
      <c r="BK109" s="5"/>
      <c r="BL109" s="5"/>
      <c r="BM109" s="5"/>
      <c r="BO109" s="5"/>
      <c r="BP109" s="5"/>
      <c r="BQ109" s="5"/>
      <c r="BR109" s="5"/>
      <c r="BS109" s="5"/>
      <c r="BU109" s="4"/>
      <c r="BV109" s="4"/>
      <c r="BW109" s="4"/>
      <c r="BX109" s="4"/>
    </row>
    <row r="110" spans="4:76" ht="15.75" customHeight="1">
      <c r="D110" s="5"/>
      <c r="E110" s="5"/>
      <c r="F110" s="5"/>
      <c r="G110" s="5"/>
      <c r="H110" s="5"/>
      <c r="I110" s="5"/>
      <c r="K110" s="5"/>
      <c r="L110" s="5"/>
      <c r="M110" s="5"/>
      <c r="N110" s="5"/>
      <c r="O110" s="5"/>
      <c r="P110" s="5"/>
      <c r="R110" s="5"/>
      <c r="S110" s="5"/>
      <c r="T110" s="5"/>
      <c r="U110" s="5"/>
      <c r="V110" s="5"/>
      <c r="W110" s="5"/>
      <c r="Y110" s="5"/>
      <c r="Z110" s="5"/>
      <c r="AA110" s="5"/>
      <c r="AB110" s="5"/>
      <c r="AC110" s="5"/>
      <c r="AD110" s="5"/>
      <c r="AF110" s="5"/>
      <c r="AG110" s="5"/>
      <c r="AH110" s="5"/>
      <c r="AI110" s="5"/>
      <c r="AJ110" s="5"/>
      <c r="AK110" s="5"/>
      <c r="AM110" s="5"/>
      <c r="AN110" s="5"/>
      <c r="AO110" s="5"/>
      <c r="AP110" s="5"/>
      <c r="AQ110" s="5"/>
      <c r="AR110" s="5"/>
      <c r="AT110" s="5"/>
      <c r="AU110" s="5"/>
      <c r="AV110" s="5"/>
      <c r="AW110" s="5"/>
      <c r="AX110" s="5"/>
      <c r="AY110" s="5"/>
      <c r="BA110" s="5"/>
      <c r="BB110" s="5"/>
      <c r="BC110" s="5"/>
      <c r="BD110" s="5"/>
      <c r="BE110" s="5"/>
      <c r="BF110" s="5"/>
      <c r="BH110" s="5"/>
      <c r="BI110" s="5"/>
      <c r="BJ110" s="5"/>
      <c r="BK110" s="5"/>
      <c r="BL110" s="5"/>
      <c r="BM110" s="5"/>
      <c r="BO110" s="5"/>
      <c r="BP110" s="5"/>
      <c r="BQ110" s="5"/>
      <c r="BR110" s="5"/>
      <c r="BS110" s="5"/>
      <c r="BU110" s="4"/>
      <c r="BV110" s="4"/>
      <c r="BW110" s="4"/>
      <c r="BX110" s="4"/>
    </row>
    <row r="111" spans="4:76" ht="15.75" customHeight="1">
      <c r="D111" s="5"/>
      <c r="E111" s="5"/>
      <c r="F111" s="5"/>
      <c r="G111" s="5"/>
      <c r="H111" s="5"/>
      <c r="I111" s="5"/>
      <c r="K111" s="5"/>
      <c r="L111" s="5"/>
      <c r="M111" s="5"/>
      <c r="N111" s="5"/>
      <c r="O111" s="5"/>
      <c r="P111" s="5"/>
      <c r="R111" s="5"/>
      <c r="S111" s="5"/>
      <c r="T111" s="5"/>
      <c r="U111" s="5"/>
      <c r="V111" s="5"/>
      <c r="W111" s="5"/>
      <c r="Y111" s="5"/>
      <c r="Z111" s="5"/>
      <c r="AA111" s="5"/>
      <c r="AB111" s="5"/>
      <c r="AC111" s="5"/>
      <c r="AD111" s="5"/>
      <c r="AF111" s="5"/>
      <c r="AG111" s="5"/>
      <c r="AH111" s="5"/>
      <c r="AI111" s="5"/>
      <c r="AJ111" s="5"/>
      <c r="AK111" s="5"/>
      <c r="AM111" s="5"/>
      <c r="AN111" s="5"/>
      <c r="AO111" s="5"/>
      <c r="AP111" s="5"/>
      <c r="AQ111" s="5"/>
      <c r="AR111" s="5"/>
      <c r="AT111" s="5"/>
      <c r="AU111" s="5"/>
      <c r="AV111" s="5"/>
      <c r="AW111" s="5"/>
      <c r="AX111" s="5"/>
      <c r="AY111" s="5"/>
      <c r="BA111" s="5"/>
      <c r="BB111" s="5"/>
      <c r="BC111" s="5"/>
      <c r="BD111" s="5"/>
      <c r="BE111" s="5"/>
      <c r="BF111" s="5"/>
      <c r="BH111" s="5"/>
      <c r="BI111" s="5"/>
      <c r="BJ111" s="5"/>
      <c r="BK111" s="5"/>
      <c r="BL111" s="5"/>
      <c r="BM111" s="5"/>
      <c r="BO111" s="5"/>
      <c r="BP111" s="5"/>
      <c r="BQ111" s="5"/>
      <c r="BR111" s="5"/>
      <c r="BS111" s="5"/>
      <c r="BU111" s="4"/>
      <c r="BV111" s="4"/>
      <c r="BW111" s="4"/>
      <c r="BX111" s="4"/>
    </row>
    <row r="112" spans="4:76" ht="15.75" customHeight="1">
      <c r="D112" s="5"/>
      <c r="E112" s="5"/>
      <c r="F112" s="5"/>
      <c r="G112" s="5"/>
      <c r="H112" s="5"/>
      <c r="I112" s="5"/>
      <c r="K112" s="5"/>
      <c r="L112" s="5"/>
      <c r="M112" s="5"/>
      <c r="N112" s="5"/>
      <c r="O112" s="5"/>
      <c r="P112" s="5"/>
      <c r="R112" s="5"/>
      <c r="S112" s="5"/>
      <c r="T112" s="5"/>
      <c r="U112" s="5"/>
      <c r="V112" s="5"/>
      <c r="W112" s="5"/>
      <c r="Y112" s="5"/>
      <c r="Z112" s="5"/>
      <c r="AA112" s="5"/>
      <c r="AB112" s="5"/>
      <c r="AC112" s="5"/>
      <c r="AD112" s="5"/>
      <c r="AF112" s="5"/>
      <c r="AG112" s="5"/>
      <c r="AH112" s="5"/>
      <c r="AI112" s="5"/>
      <c r="AJ112" s="5"/>
      <c r="AK112" s="5"/>
      <c r="AM112" s="5"/>
      <c r="AN112" s="5"/>
      <c r="AO112" s="5"/>
      <c r="AP112" s="5"/>
      <c r="AQ112" s="5"/>
      <c r="AR112" s="5"/>
      <c r="AT112" s="5"/>
      <c r="AU112" s="5"/>
      <c r="AV112" s="5"/>
      <c r="AW112" s="5"/>
      <c r="AX112" s="5"/>
      <c r="AY112" s="5"/>
      <c r="BA112" s="5"/>
      <c r="BB112" s="5"/>
      <c r="BC112" s="5"/>
      <c r="BD112" s="5"/>
      <c r="BE112" s="5"/>
      <c r="BF112" s="5"/>
      <c r="BH112" s="5"/>
      <c r="BI112" s="5"/>
      <c r="BJ112" s="5"/>
      <c r="BK112" s="5"/>
      <c r="BL112" s="5"/>
      <c r="BM112" s="5"/>
      <c r="BO112" s="5"/>
      <c r="BP112" s="5"/>
      <c r="BQ112" s="5"/>
      <c r="BR112" s="5"/>
      <c r="BS112" s="5"/>
      <c r="BU112" s="4"/>
      <c r="BV112" s="4"/>
      <c r="BW112" s="4"/>
      <c r="BX112" s="4"/>
    </row>
    <row r="113" spans="4:76" ht="15.75" customHeight="1">
      <c r="D113" s="5"/>
      <c r="E113" s="5"/>
      <c r="F113" s="5"/>
      <c r="G113" s="5"/>
      <c r="H113" s="5"/>
      <c r="I113" s="5"/>
      <c r="K113" s="5"/>
      <c r="L113" s="5"/>
      <c r="M113" s="5"/>
      <c r="N113" s="5"/>
      <c r="O113" s="5"/>
      <c r="P113" s="5"/>
      <c r="R113" s="5"/>
      <c r="S113" s="5"/>
      <c r="T113" s="5"/>
      <c r="U113" s="5"/>
      <c r="V113" s="5"/>
      <c r="W113" s="5"/>
      <c r="Y113" s="5"/>
      <c r="Z113" s="5"/>
      <c r="AA113" s="5"/>
      <c r="AB113" s="5"/>
      <c r="AC113" s="5"/>
      <c r="AD113" s="5"/>
      <c r="AF113" s="5"/>
      <c r="AG113" s="5"/>
      <c r="AH113" s="5"/>
      <c r="AI113" s="5"/>
      <c r="AJ113" s="5"/>
      <c r="AK113" s="5"/>
      <c r="AM113" s="5"/>
      <c r="AN113" s="5"/>
      <c r="AO113" s="5"/>
      <c r="AP113" s="5"/>
      <c r="AQ113" s="5"/>
      <c r="AR113" s="5"/>
      <c r="AT113" s="5"/>
      <c r="AU113" s="5"/>
      <c r="AV113" s="5"/>
      <c r="AW113" s="5"/>
      <c r="AX113" s="5"/>
      <c r="AY113" s="5"/>
      <c r="BA113" s="5"/>
      <c r="BB113" s="5"/>
      <c r="BC113" s="5"/>
      <c r="BD113" s="5"/>
      <c r="BE113" s="5"/>
      <c r="BF113" s="5"/>
      <c r="BH113" s="5"/>
      <c r="BI113" s="5"/>
      <c r="BJ113" s="5"/>
      <c r="BK113" s="5"/>
      <c r="BL113" s="5"/>
      <c r="BM113" s="5"/>
      <c r="BO113" s="5"/>
      <c r="BP113" s="5"/>
      <c r="BQ113" s="5"/>
      <c r="BR113" s="5"/>
      <c r="BS113" s="5"/>
      <c r="BU113" s="4"/>
      <c r="BV113" s="4"/>
      <c r="BW113" s="4"/>
      <c r="BX113" s="4"/>
    </row>
    <row r="114" spans="4:76" ht="15.75" customHeight="1">
      <c r="D114" s="5"/>
      <c r="E114" s="5"/>
      <c r="F114" s="5"/>
      <c r="G114" s="5"/>
      <c r="H114" s="5"/>
      <c r="I114" s="5"/>
      <c r="K114" s="5"/>
      <c r="L114" s="5"/>
      <c r="M114" s="5"/>
      <c r="N114" s="5"/>
      <c r="O114" s="5"/>
      <c r="P114" s="5"/>
      <c r="R114" s="5"/>
      <c r="S114" s="5"/>
      <c r="T114" s="5"/>
      <c r="U114" s="5"/>
      <c r="V114" s="5"/>
      <c r="W114" s="5"/>
      <c r="Y114" s="5"/>
      <c r="Z114" s="5"/>
      <c r="AA114" s="5"/>
      <c r="AB114" s="5"/>
      <c r="AC114" s="5"/>
      <c r="AD114" s="5"/>
      <c r="AF114" s="5"/>
      <c r="AG114" s="5"/>
      <c r="AH114" s="5"/>
      <c r="AI114" s="5"/>
      <c r="AJ114" s="5"/>
      <c r="AK114" s="5"/>
      <c r="AM114" s="5"/>
      <c r="AN114" s="5"/>
      <c r="AO114" s="5"/>
      <c r="AP114" s="5"/>
      <c r="AQ114" s="5"/>
      <c r="AR114" s="5"/>
      <c r="AT114" s="5"/>
      <c r="AU114" s="5"/>
      <c r="AV114" s="5"/>
      <c r="AW114" s="5"/>
      <c r="AX114" s="5"/>
      <c r="AY114" s="5"/>
      <c r="BA114" s="5"/>
      <c r="BB114" s="5"/>
      <c r="BC114" s="5"/>
      <c r="BD114" s="5"/>
      <c r="BE114" s="5"/>
      <c r="BF114" s="5"/>
      <c r="BH114" s="5"/>
      <c r="BI114" s="5"/>
      <c r="BJ114" s="5"/>
      <c r="BK114" s="5"/>
      <c r="BL114" s="5"/>
      <c r="BM114" s="5"/>
      <c r="BO114" s="5"/>
      <c r="BP114" s="5"/>
      <c r="BQ114" s="5"/>
      <c r="BR114" s="5"/>
      <c r="BS114" s="5"/>
      <c r="BU114" s="4"/>
      <c r="BV114" s="4"/>
      <c r="BW114" s="4"/>
      <c r="BX114" s="4"/>
    </row>
    <row r="115" spans="4:76" ht="15.75" customHeight="1">
      <c r="D115" s="5"/>
      <c r="E115" s="5"/>
      <c r="F115" s="5"/>
      <c r="G115" s="5"/>
      <c r="H115" s="5"/>
      <c r="I115" s="5"/>
      <c r="K115" s="5"/>
      <c r="L115" s="5"/>
      <c r="M115" s="5"/>
      <c r="N115" s="5"/>
      <c r="O115" s="5"/>
      <c r="P115" s="5"/>
      <c r="R115" s="5"/>
      <c r="S115" s="5"/>
      <c r="T115" s="5"/>
      <c r="U115" s="5"/>
      <c r="V115" s="5"/>
      <c r="W115" s="5"/>
      <c r="Y115" s="5"/>
      <c r="Z115" s="5"/>
      <c r="AA115" s="5"/>
      <c r="AB115" s="5"/>
      <c r="AC115" s="5"/>
      <c r="AD115" s="5"/>
      <c r="AF115" s="5"/>
      <c r="AG115" s="5"/>
      <c r="AH115" s="5"/>
      <c r="AI115" s="5"/>
      <c r="AJ115" s="5"/>
      <c r="AK115" s="5"/>
      <c r="AM115" s="5"/>
      <c r="AN115" s="5"/>
      <c r="AO115" s="5"/>
      <c r="AP115" s="5"/>
      <c r="AQ115" s="5"/>
      <c r="AR115" s="5"/>
      <c r="AT115" s="5"/>
      <c r="AU115" s="5"/>
      <c r="AV115" s="5"/>
      <c r="AW115" s="5"/>
      <c r="AX115" s="5"/>
      <c r="AY115" s="5"/>
      <c r="BA115" s="5"/>
      <c r="BB115" s="5"/>
      <c r="BC115" s="5"/>
      <c r="BD115" s="5"/>
      <c r="BE115" s="5"/>
      <c r="BF115" s="5"/>
      <c r="BH115" s="5"/>
      <c r="BI115" s="5"/>
      <c r="BJ115" s="5"/>
      <c r="BK115" s="5"/>
      <c r="BL115" s="5"/>
      <c r="BM115" s="5"/>
      <c r="BO115" s="5"/>
      <c r="BP115" s="5"/>
      <c r="BQ115" s="5"/>
      <c r="BR115" s="5"/>
      <c r="BS115" s="5"/>
      <c r="BU115" s="4"/>
      <c r="BV115" s="4"/>
      <c r="BW115" s="4"/>
      <c r="BX115" s="4"/>
    </row>
    <row r="116" spans="4:76" ht="15.75" customHeight="1">
      <c r="D116" s="5"/>
      <c r="E116" s="5"/>
      <c r="F116" s="5"/>
      <c r="G116" s="5"/>
      <c r="H116" s="5"/>
      <c r="I116" s="5"/>
      <c r="K116" s="5"/>
      <c r="L116" s="5"/>
      <c r="M116" s="5"/>
      <c r="N116" s="5"/>
      <c r="O116" s="5"/>
      <c r="P116" s="5"/>
      <c r="R116" s="5"/>
      <c r="S116" s="5"/>
      <c r="T116" s="5"/>
      <c r="U116" s="5"/>
      <c r="V116" s="5"/>
      <c r="W116" s="5"/>
      <c r="Y116" s="5"/>
      <c r="Z116" s="5"/>
      <c r="AA116" s="5"/>
      <c r="AB116" s="5"/>
      <c r="AC116" s="5"/>
      <c r="AD116" s="5"/>
      <c r="AF116" s="5"/>
      <c r="AG116" s="5"/>
      <c r="AH116" s="5"/>
      <c r="AI116" s="5"/>
      <c r="AJ116" s="5"/>
      <c r="AK116" s="5"/>
      <c r="AM116" s="5"/>
      <c r="AN116" s="5"/>
      <c r="AO116" s="5"/>
      <c r="AP116" s="5"/>
      <c r="AQ116" s="5"/>
      <c r="AR116" s="5"/>
      <c r="AT116" s="5"/>
      <c r="AU116" s="5"/>
      <c r="AV116" s="5"/>
      <c r="AW116" s="5"/>
      <c r="AX116" s="5"/>
      <c r="AY116" s="5"/>
      <c r="BA116" s="5"/>
      <c r="BB116" s="5"/>
      <c r="BC116" s="5"/>
      <c r="BD116" s="5"/>
      <c r="BE116" s="5"/>
      <c r="BF116" s="5"/>
      <c r="BH116" s="5"/>
      <c r="BI116" s="5"/>
      <c r="BJ116" s="5"/>
      <c r="BK116" s="5"/>
      <c r="BL116" s="5"/>
      <c r="BM116" s="5"/>
      <c r="BO116" s="5"/>
      <c r="BP116" s="5"/>
      <c r="BQ116" s="5"/>
      <c r="BR116" s="5"/>
      <c r="BS116" s="5"/>
      <c r="BU116" s="4"/>
      <c r="BV116" s="4"/>
      <c r="BW116" s="4"/>
      <c r="BX116" s="4"/>
    </row>
    <row r="117" spans="4:76" ht="15.75" customHeight="1">
      <c r="D117" s="5"/>
      <c r="E117" s="5"/>
      <c r="F117" s="5"/>
      <c r="G117" s="5"/>
      <c r="H117" s="5"/>
      <c r="I117" s="5"/>
      <c r="K117" s="5"/>
      <c r="L117" s="5"/>
      <c r="M117" s="5"/>
      <c r="N117" s="5"/>
      <c r="O117" s="5"/>
      <c r="P117" s="5"/>
      <c r="R117" s="5"/>
      <c r="S117" s="5"/>
      <c r="T117" s="5"/>
      <c r="U117" s="5"/>
      <c r="V117" s="5"/>
      <c r="W117" s="5"/>
      <c r="Y117" s="5"/>
      <c r="Z117" s="5"/>
      <c r="AA117" s="5"/>
      <c r="AB117" s="5"/>
      <c r="AC117" s="5"/>
      <c r="AD117" s="5"/>
      <c r="AF117" s="5"/>
      <c r="AG117" s="5"/>
      <c r="AH117" s="5"/>
      <c r="AI117" s="5"/>
      <c r="AJ117" s="5"/>
      <c r="AK117" s="5"/>
      <c r="AM117" s="5"/>
      <c r="AN117" s="5"/>
      <c r="AO117" s="5"/>
      <c r="AP117" s="5"/>
      <c r="AQ117" s="5"/>
      <c r="AR117" s="5"/>
      <c r="AT117" s="5"/>
      <c r="AU117" s="5"/>
      <c r="AV117" s="5"/>
      <c r="AW117" s="5"/>
      <c r="AX117" s="5"/>
      <c r="AY117" s="5"/>
      <c r="BA117" s="5"/>
      <c r="BB117" s="5"/>
      <c r="BC117" s="5"/>
      <c r="BD117" s="5"/>
      <c r="BE117" s="5"/>
      <c r="BF117" s="5"/>
      <c r="BH117" s="5"/>
      <c r="BI117" s="5"/>
      <c r="BJ117" s="5"/>
      <c r="BK117" s="5"/>
      <c r="BL117" s="5"/>
      <c r="BM117" s="5"/>
      <c r="BO117" s="5"/>
      <c r="BP117" s="5"/>
      <c r="BQ117" s="5"/>
      <c r="BR117" s="5"/>
      <c r="BS117" s="5"/>
      <c r="BU117" s="4"/>
      <c r="BV117" s="4"/>
      <c r="BW117" s="4"/>
      <c r="BX117" s="4"/>
    </row>
    <row r="118" spans="4:76" ht="15.75" customHeight="1">
      <c r="D118" s="5"/>
      <c r="E118" s="5"/>
      <c r="F118" s="5"/>
      <c r="G118" s="5"/>
      <c r="H118" s="5"/>
      <c r="I118" s="5"/>
      <c r="K118" s="5"/>
      <c r="L118" s="5"/>
      <c r="M118" s="5"/>
      <c r="N118" s="5"/>
      <c r="O118" s="5"/>
      <c r="P118" s="5"/>
      <c r="R118" s="5"/>
      <c r="S118" s="5"/>
      <c r="T118" s="5"/>
      <c r="U118" s="5"/>
      <c r="V118" s="5"/>
      <c r="W118" s="5"/>
      <c r="Y118" s="5"/>
      <c r="Z118" s="5"/>
      <c r="AA118" s="5"/>
      <c r="AB118" s="5"/>
      <c r="AC118" s="5"/>
      <c r="AD118" s="5"/>
      <c r="AF118" s="5"/>
      <c r="AG118" s="5"/>
      <c r="AH118" s="5"/>
      <c r="AI118" s="5"/>
      <c r="AJ118" s="5"/>
      <c r="AK118" s="5"/>
      <c r="AM118" s="5"/>
      <c r="AN118" s="5"/>
      <c r="AO118" s="5"/>
      <c r="AP118" s="5"/>
      <c r="AQ118" s="5"/>
      <c r="AR118" s="5"/>
      <c r="AT118" s="5"/>
      <c r="AU118" s="5"/>
      <c r="AV118" s="5"/>
      <c r="AW118" s="5"/>
      <c r="AX118" s="5"/>
      <c r="AY118" s="5"/>
      <c r="BA118" s="5"/>
      <c r="BB118" s="5"/>
      <c r="BC118" s="5"/>
      <c r="BD118" s="5"/>
      <c r="BE118" s="5"/>
      <c r="BF118" s="5"/>
      <c r="BH118" s="5"/>
      <c r="BI118" s="5"/>
      <c r="BJ118" s="5"/>
      <c r="BK118" s="5"/>
      <c r="BL118" s="5"/>
      <c r="BM118" s="5"/>
      <c r="BO118" s="5"/>
      <c r="BP118" s="5"/>
      <c r="BQ118" s="5"/>
      <c r="BR118" s="5"/>
      <c r="BS118" s="5"/>
      <c r="BU118" s="4"/>
      <c r="BV118" s="4"/>
      <c r="BW118" s="4"/>
      <c r="BX118" s="4"/>
    </row>
    <row r="119" spans="4:76" ht="15.75" customHeight="1">
      <c r="D119" s="5"/>
      <c r="E119" s="5"/>
      <c r="F119" s="5"/>
      <c r="G119" s="5"/>
      <c r="H119" s="5"/>
      <c r="I119" s="5"/>
      <c r="K119" s="5"/>
      <c r="L119" s="5"/>
      <c r="M119" s="5"/>
      <c r="N119" s="5"/>
      <c r="O119" s="5"/>
      <c r="P119" s="5"/>
      <c r="R119" s="5"/>
      <c r="S119" s="5"/>
      <c r="T119" s="5"/>
      <c r="U119" s="5"/>
      <c r="V119" s="5"/>
      <c r="W119" s="5"/>
      <c r="Y119" s="5"/>
      <c r="Z119" s="5"/>
      <c r="AA119" s="5"/>
      <c r="AB119" s="5"/>
      <c r="AC119" s="5"/>
      <c r="AD119" s="5"/>
      <c r="AF119" s="5"/>
      <c r="AG119" s="5"/>
      <c r="AH119" s="5"/>
      <c r="AI119" s="5"/>
      <c r="AJ119" s="5"/>
      <c r="AK119" s="5"/>
      <c r="AM119" s="5"/>
      <c r="AN119" s="5"/>
      <c r="AO119" s="5"/>
      <c r="AP119" s="5"/>
      <c r="AQ119" s="5"/>
      <c r="AR119" s="5"/>
      <c r="AT119" s="5"/>
      <c r="AU119" s="5"/>
      <c r="AV119" s="5"/>
      <c r="AW119" s="5"/>
      <c r="AX119" s="5"/>
      <c r="AY119" s="5"/>
      <c r="BA119" s="5"/>
      <c r="BB119" s="5"/>
      <c r="BC119" s="5"/>
      <c r="BD119" s="5"/>
      <c r="BE119" s="5"/>
      <c r="BF119" s="5"/>
      <c r="BH119" s="5"/>
      <c r="BI119" s="5"/>
      <c r="BJ119" s="5"/>
      <c r="BK119" s="5"/>
      <c r="BL119" s="5"/>
      <c r="BM119" s="5"/>
      <c r="BO119" s="5"/>
      <c r="BP119" s="5"/>
      <c r="BQ119" s="5"/>
      <c r="BR119" s="5"/>
      <c r="BS119" s="5"/>
      <c r="BU119" s="4"/>
      <c r="BV119" s="4"/>
      <c r="BW119" s="4"/>
      <c r="BX119" s="4"/>
    </row>
    <row r="120" spans="4:76" ht="15.75" customHeight="1">
      <c r="D120" s="5"/>
      <c r="E120" s="5"/>
      <c r="F120" s="5"/>
      <c r="G120" s="5"/>
      <c r="H120" s="5"/>
      <c r="I120" s="5"/>
      <c r="K120" s="5"/>
      <c r="L120" s="5"/>
      <c r="M120" s="5"/>
      <c r="N120" s="5"/>
      <c r="O120" s="5"/>
      <c r="P120" s="5"/>
      <c r="R120" s="5"/>
      <c r="S120" s="5"/>
      <c r="T120" s="5"/>
      <c r="U120" s="5"/>
      <c r="V120" s="5"/>
      <c r="W120" s="5"/>
      <c r="Y120" s="5"/>
      <c r="Z120" s="5"/>
      <c r="AA120" s="5"/>
      <c r="AB120" s="5"/>
      <c r="AC120" s="5"/>
      <c r="AD120" s="5"/>
      <c r="AF120" s="5"/>
      <c r="AG120" s="5"/>
      <c r="AH120" s="5"/>
      <c r="AI120" s="5"/>
      <c r="AJ120" s="5"/>
      <c r="AK120" s="5"/>
      <c r="AM120" s="5"/>
      <c r="AN120" s="5"/>
      <c r="AO120" s="5"/>
      <c r="AP120" s="5"/>
      <c r="AQ120" s="5"/>
      <c r="AR120" s="5"/>
      <c r="AT120" s="5"/>
      <c r="AU120" s="5"/>
      <c r="AV120" s="5"/>
      <c r="AW120" s="5"/>
      <c r="AX120" s="5"/>
      <c r="AY120" s="5"/>
      <c r="BA120" s="5"/>
      <c r="BB120" s="5"/>
      <c r="BC120" s="5"/>
      <c r="BD120" s="5"/>
      <c r="BE120" s="5"/>
      <c r="BF120" s="5"/>
      <c r="BH120" s="5"/>
      <c r="BI120" s="5"/>
      <c r="BJ120" s="5"/>
      <c r="BK120" s="5"/>
      <c r="BL120" s="5"/>
      <c r="BM120" s="5"/>
      <c r="BO120" s="5"/>
      <c r="BP120" s="5"/>
      <c r="BQ120" s="5"/>
      <c r="BR120" s="5"/>
      <c r="BS120" s="5"/>
      <c r="BU120" s="4"/>
      <c r="BV120" s="4"/>
      <c r="BW120" s="4"/>
      <c r="BX120" s="4"/>
    </row>
    <row r="121" spans="4:76" ht="15.75" customHeight="1">
      <c r="D121" s="5"/>
      <c r="E121" s="5"/>
      <c r="F121" s="5"/>
      <c r="G121" s="5"/>
      <c r="H121" s="5"/>
      <c r="I121" s="5"/>
      <c r="K121" s="5"/>
      <c r="L121" s="5"/>
      <c r="M121" s="5"/>
      <c r="N121" s="5"/>
      <c r="O121" s="5"/>
      <c r="P121" s="5"/>
      <c r="R121" s="5"/>
      <c r="S121" s="5"/>
      <c r="T121" s="5"/>
      <c r="U121" s="5"/>
      <c r="V121" s="5"/>
      <c r="W121" s="5"/>
      <c r="Y121" s="5"/>
      <c r="Z121" s="5"/>
      <c r="AA121" s="5"/>
      <c r="AB121" s="5"/>
      <c r="AC121" s="5"/>
      <c r="AD121" s="5"/>
      <c r="AF121" s="5"/>
      <c r="AG121" s="5"/>
      <c r="AH121" s="5"/>
      <c r="AI121" s="5"/>
      <c r="AJ121" s="5"/>
      <c r="AK121" s="5"/>
      <c r="AM121" s="5"/>
      <c r="AN121" s="5"/>
      <c r="AO121" s="5"/>
      <c r="AP121" s="5"/>
      <c r="AQ121" s="5"/>
      <c r="AR121" s="5"/>
      <c r="AT121" s="5"/>
      <c r="AU121" s="5"/>
      <c r="AV121" s="5"/>
      <c r="AW121" s="5"/>
      <c r="AX121" s="5"/>
      <c r="AY121" s="5"/>
      <c r="BA121" s="5"/>
      <c r="BB121" s="5"/>
      <c r="BC121" s="5"/>
      <c r="BD121" s="5"/>
      <c r="BE121" s="5"/>
      <c r="BF121" s="5"/>
      <c r="BH121" s="5"/>
      <c r="BI121" s="5"/>
      <c r="BJ121" s="5"/>
      <c r="BK121" s="5"/>
      <c r="BL121" s="5"/>
      <c r="BM121" s="5"/>
      <c r="BO121" s="5"/>
      <c r="BP121" s="5"/>
      <c r="BQ121" s="5"/>
      <c r="BR121" s="5"/>
      <c r="BS121" s="5"/>
      <c r="BU121" s="4"/>
      <c r="BV121" s="4"/>
      <c r="BW121" s="4"/>
      <c r="BX121" s="4"/>
    </row>
    <row r="122" spans="4:76" ht="15.75" customHeight="1">
      <c r="D122" s="5"/>
      <c r="E122" s="5"/>
      <c r="F122" s="5"/>
      <c r="G122" s="5"/>
      <c r="H122" s="5"/>
      <c r="I122" s="5"/>
      <c r="K122" s="5"/>
      <c r="L122" s="5"/>
      <c r="M122" s="5"/>
      <c r="N122" s="5"/>
      <c r="O122" s="5"/>
      <c r="P122" s="5"/>
      <c r="R122" s="5"/>
      <c r="S122" s="5"/>
      <c r="T122" s="5"/>
      <c r="U122" s="5"/>
      <c r="V122" s="5"/>
      <c r="W122" s="5"/>
      <c r="Y122" s="5"/>
      <c r="Z122" s="5"/>
      <c r="AA122" s="5"/>
      <c r="AB122" s="5"/>
      <c r="AC122" s="5"/>
      <c r="AD122" s="5"/>
      <c r="AF122" s="5"/>
      <c r="AG122" s="5"/>
      <c r="AH122" s="5"/>
      <c r="AI122" s="5"/>
      <c r="AJ122" s="5"/>
      <c r="AK122" s="5"/>
      <c r="AM122" s="5"/>
      <c r="AN122" s="5"/>
      <c r="AO122" s="5"/>
      <c r="AP122" s="5"/>
      <c r="AQ122" s="5"/>
      <c r="AR122" s="5"/>
      <c r="AT122" s="5"/>
      <c r="AU122" s="5"/>
      <c r="AV122" s="5"/>
      <c r="AW122" s="5"/>
      <c r="AX122" s="5"/>
      <c r="AY122" s="5"/>
      <c r="BA122" s="5"/>
      <c r="BB122" s="5"/>
      <c r="BC122" s="5"/>
      <c r="BD122" s="5"/>
      <c r="BE122" s="5"/>
      <c r="BF122" s="5"/>
      <c r="BH122" s="5"/>
      <c r="BI122" s="5"/>
      <c r="BJ122" s="5"/>
      <c r="BK122" s="5"/>
      <c r="BL122" s="5"/>
      <c r="BM122" s="5"/>
      <c r="BO122" s="5"/>
      <c r="BP122" s="5"/>
      <c r="BQ122" s="5"/>
      <c r="BR122" s="5"/>
      <c r="BS122" s="5"/>
      <c r="BU122" s="4"/>
      <c r="BV122" s="4"/>
      <c r="BW122" s="4"/>
      <c r="BX122" s="4"/>
    </row>
    <row r="123" spans="4:76" ht="15.75" customHeight="1">
      <c r="D123" s="5"/>
      <c r="E123" s="5"/>
      <c r="F123" s="5"/>
      <c r="G123" s="5"/>
      <c r="H123" s="5"/>
      <c r="I123" s="5"/>
      <c r="K123" s="5"/>
      <c r="L123" s="5"/>
      <c r="M123" s="5"/>
      <c r="N123" s="5"/>
      <c r="O123" s="5"/>
      <c r="P123" s="5"/>
      <c r="R123" s="5"/>
      <c r="S123" s="5"/>
      <c r="T123" s="5"/>
      <c r="U123" s="5"/>
      <c r="V123" s="5"/>
      <c r="W123" s="5"/>
      <c r="Y123" s="5"/>
      <c r="Z123" s="5"/>
      <c r="AA123" s="5"/>
      <c r="AB123" s="5"/>
      <c r="AC123" s="5"/>
      <c r="AD123" s="5"/>
      <c r="AF123" s="5"/>
      <c r="AG123" s="5"/>
      <c r="AH123" s="5"/>
      <c r="AI123" s="5"/>
      <c r="AJ123" s="5"/>
      <c r="AK123" s="5"/>
      <c r="AM123" s="5"/>
      <c r="AN123" s="5"/>
      <c r="AO123" s="5"/>
      <c r="AP123" s="5"/>
      <c r="AQ123" s="5"/>
      <c r="AR123" s="5"/>
      <c r="AT123" s="5"/>
      <c r="AU123" s="5"/>
      <c r="AV123" s="5"/>
      <c r="AW123" s="5"/>
      <c r="AX123" s="5"/>
      <c r="AY123" s="5"/>
      <c r="BA123" s="5"/>
      <c r="BB123" s="5"/>
      <c r="BC123" s="5"/>
      <c r="BD123" s="5"/>
      <c r="BE123" s="5"/>
      <c r="BF123" s="5"/>
      <c r="BH123" s="5"/>
      <c r="BI123" s="5"/>
      <c r="BJ123" s="5"/>
      <c r="BK123" s="5"/>
      <c r="BL123" s="5"/>
      <c r="BM123" s="5"/>
      <c r="BO123" s="5"/>
      <c r="BP123" s="5"/>
      <c r="BQ123" s="5"/>
      <c r="BR123" s="5"/>
      <c r="BS123" s="5"/>
      <c r="BU123" s="4"/>
      <c r="BV123" s="4"/>
      <c r="BW123" s="4"/>
      <c r="BX123" s="4"/>
    </row>
    <row r="124" spans="4:76" ht="15.75" customHeight="1">
      <c r="D124" s="5"/>
      <c r="E124" s="5"/>
      <c r="F124" s="5"/>
      <c r="G124" s="5"/>
      <c r="H124" s="5"/>
      <c r="I124" s="5"/>
      <c r="K124" s="5"/>
      <c r="L124" s="5"/>
      <c r="M124" s="5"/>
      <c r="N124" s="5"/>
      <c r="O124" s="5"/>
      <c r="P124" s="5"/>
      <c r="R124" s="5"/>
      <c r="S124" s="5"/>
      <c r="T124" s="5"/>
      <c r="U124" s="5"/>
      <c r="V124" s="5"/>
      <c r="W124" s="5"/>
      <c r="Y124" s="5"/>
      <c r="Z124" s="5"/>
      <c r="AA124" s="5"/>
      <c r="AB124" s="5"/>
      <c r="AC124" s="5"/>
      <c r="AD124" s="5"/>
      <c r="AF124" s="5"/>
      <c r="AG124" s="5"/>
      <c r="AH124" s="5"/>
      <c r="AI124" s="5"/>
      <c r="AJ124" s="5"/>
      <c r="AK124" s="5"/>
      <c r="AM124" s="5"/>
      <c r="AN124" s="5"/>
      <c r="AO124" s="5"/>
      <c r="AP124" s="5"/>
      <c r="AQ124" s="5"/>
      <c r="AR124" s="5"/>
      <c r="AT124" s="5"/>
      <c r="AU124" s="5"/>
      <c r="AV124" s="5"/>
      <c r="AW124" s="5"/>
      <c r="AX124" s="5"/>
      <c r="AY124" s="5"/>
      <c r="BA124" s="5"/>
      <c r="BB124" s="5"/>
      <c r="BC124" s="5"/>
      <c r="BD124" s="5"/>
      <c r="BE124" s="5"/>
      <c r="BF124" s="5"/>
      <c r="BH124" s="5"/>
      <c r="BI124" s="5"/>
      <c r="BJ124" s="5"/>
      <c r="BK124" s="5"/>
      <c r="BL124" s="5"/>
      <c r="BM124" s="5"/>
      <c r="BO124" s="5"/>
      <c r="BP124" s="5"/>
      <c r="BQ124" s="5"/>
      <c r="BR124" s="5"/>
      <c r="BS124" s="5"/>
      <c r="BU124" s="4"/>
      <c r="BV124" s="4"/>
      <c r="BW124" s="4"/>
      <c r="BX124" s="4"/>
    </row>
    <row r="125" spans="4:76" ht="15.75" customHeight="1">
      <c r="D125" s="5"/>
      <c r="E125" s="5"/>
      <c r="F125" s="5"/>
      <c r="G125" s="5"/>
      <c r="H125" s="5"/>
      <c r="I125" s="5"/>
      <c r="K125" s="5"/>
      <c r="L125" s="5"/>
      <c r="M125" s="5"/>
      <c r="N125" s="5"/>
      <c r="O125" s="5"/>
      <c r="P125" s="5"/>
      <c r="R125" s="5"/>
      <c r="S125" s="5"/>
      <c r="T125" s="5"/>
      <c r="U125" s="5"/>
      <c r="V125" s="5"/>
      <c r="W125" s="5"/>
      <c r="Y125" s="5"/>
      <c r="Z125" s="5"/>
      <c r="AA125" s="5"/>
      <c r="AB125" s="5"/>
      <c r="AC125" s="5"/>
      <c r="AD125" s="5"/>
      <c r="AF125" s="5"/>
      <c r="AG125" s="5"/>
      <c r="AH125" s="5"/>
      <c r="AI125" s="5"/>
      <c r="AJ125" s="5"/>
      <c r="AK125" s="5"/>
      <c r="AM125" s="5"/>
      <c r="AN125" s="5"/>
      <c r="AO125" s="5"/>
      <c r="AP125" s="5"/>
      <c r="AQ125" s="5"/>
      <c r="AR125" s="5"/>
      <c r="AT125" s="5"/>
      <c r="AU125" s="5"/>
      <c r="AV125" s="5"/>
      <c r="AW125" s="5"/>
      <c r="AX125" s="5"/>
      <c r="AY125" s="5"/>
      <c r="BA125" s="5"/>
      <c r="BB125" s="5"/>
      <c r="BC125" s="5"/>
      <c r="BD125" s="5"/>
      <c r="BE125" s="5"/>
      <c r="BF125" s="5"/>
      <c r="BH125" s="5"/>
      <c r="BI125" s="5"/>
      <c r="BJ125" s="5"/>
      <c r="BK125" s="5"/>
      <c r="BL125" s="5"/>
      <c r="BM125" s="5"/>
      <c r="BO125" s="5"/>
      <c r="BP125" s="5"/>
      <c r="BQ125" s="5"/>
      <c r="BR125" s="5"/>
      <c r="BS125" s="5"/>
      <c r="BU125" s="4"/>
      <c r="BV125" s="4"/>
      <c r="BW125" s="4"/>
      <c r="BX125" s="4"/>
    </row>
    <row r="126" spans="4:76" ht="15.75" customHeight="1">
      <c r="D126" s="5"/>
      <c r="E126" s="5"/>
      <c r="F126" s="5"/>
      <c r="G126" s="5"/>
      <c r="H126" s="5"/>
      <c r="I126" s="5"/>
      <c r="K126" s="5"/>
      <c r="L126" s="5"/>
      <c r="M126" s="5"/>
      <c r="N126" s="5"/>
      <c r="O126" s="5"/>
      <c r="P126" s="5"/>
      <c r="R126" s="5"/>
      <c r="S126" s="5"/>
      <c r="T126" s="5"/>
      <c r="U126" s="5"/>
      <c r="V126" s="5"/>
      <c r="W126" s="5"/>
      <c r="Y126" s="5"/>
      <c r="Z126" s="5"/>
      <c r="AA126" s="5"/>
      <c r="AB126" s="5"/>
      <c r="AC126" s="5"/>
      <c r="AD126" s="5"/>
      <c r="AF126" s="5"/>
      <c r="AG126" s="5"/>
      <c r="AH126" s="5"/>
      <c r="AI126" s="5"/>
      <c r="AJ126" s="5"/>
      <c r="AK126" s="5"/>
      <c r="AM126" s="5"/>
      <c r="AN126" s="5"/>
      <c r="AO126" s="5"/>
      <c r="AP126" s="5"/>
      <c r="AQ126" s="5"/>
      <c r="AR126" s="5"/>
      <c r="AT126" s="5"/>
      <c r="AU126" s="5"/>
      <c r="AV126" s="5"/>
      <c r="AW126" s="5"/>
      <c r="AX126" s="5"/>
      <c r="AY126" s="5"/>
      <c r="BA126" s="5"/>
      <c r="BB126" s="5"/>
      <c r="BC126" s="5"/>
      <c r="BD126" s="5"/>
      <c r="BE126" s="5"/>
      <c r="BF126" s="5"/>
      <c r="BH126" s="5"/>
      <c r="BI126" s="5"/>
      <c r="BJ126" s="5"/>
      <c r="BK126" s="5"/>
      <c r="BL126" s="5"/>
      <c r="BM126" s="5"/>
      <c r="BO126" s="5"/>
      <c r="BP126" s="5"/>
      <c r="BQ126" s="5"/>
      <c r="BR126" s="5"/>
      <c r="BS126" s="5"/>
      <c r="BU126" s="4"/>
      <c r="BV126" s="4"/>
      <c r="BW126" s="4"/>
      <c r="BX126" s="4"/>
    </row>
    <row r="127" spans="4:76" ht="15.75" customHeight="1">
      <c r="D127" s="5"/>
      <c r="E127" s="5"/>
      <c r="F127" s="5"/>
      <c r="G127" s="5"/>
      <c r="H127" s="5"/>
      <c r="I127" s="5"/>
      <c r="K127" s="5"/>
      <c r="L127" s="5"/>
      <c r="M127" s="5"/>
      <c r="N127" s="5"/>
      <c r="O127" s="5"/>
      <c r="P127" s="5"/>
      <c r="R127" s="5"/>
      <c r="S127" s="5"/>
      <c r="T127" s="5"/>
      <c r="U127" s="5"/>
      <c r="V127" s="5"/>
      <c r="W127" s="5"/>
      <c r="Y127" s="5"/>
      <c r="Z127" s="5"/>
      <c r="AA127" s="5"/>
      <c r="AB127" s="5"/>
      <c r="AC127" s="5"/>
      <c r="AD127" s="5"/>
      <c r="AF127" s="5"/>
      <c r="AG127" s="5"/>
      <c r="AH127" s="5"/>
      <c r="AI127" s="5"/>
      <c r="AJ127" s="5"/>
      <c r="AK127" s="5"/>
      <c r="AM127" s="5"/>
      <c r="AN127" s="5"/>
      <c r="AO127" s="5"/>
      <c r="AP127" s="5"/>
      <c r="AQ127" s="5"/>
      <c r="AR127" s="5"/>
      <c r="AT127" s="5"/>
      <c r="AU127" s="5"/>
      <c r="AV127" s="5"/>
      <c r="AW127" s="5"/>
      <c r="AX127" s="5"/>
      <c r="AY127" s="5"/>
      <c r="BA127" s="5"/>
      <c r="BB127" s="5"/>
      <c r="BC127" s="5"/>
      <c r="BD127" s="5"/>
      <c r="BE127" s="5"/>
      <c r="BF127" s="5"/>
      <c r="BH127" s="5"/>
      <c r="BI127" s="5"/>
      <c r="BJ127" s="5"/>
      <c r="BK127" s="5"/>
      <c r="BL127" s="5"/>
      <c r="BM127" s="5"/>
      <c r="BO127" s="5"/>
      <c r="BP127" s="5"/>
      <c r="BQ127" s="5"/>
      <c r="BR127" s="5"/>
      <c r="BS127" s="5"/>
      <c r="BU127" s="4"/>
      <c r="BV127" s="4"/>
      <c r="BW127" s="4"/>
      <c r="BX127" s="4"/>
    </row>
    <row r="128" spans="4:76" ht="15.75" customHeight="1">
      <c r="D128" s="5"/>
      <c r="E128" s="5"/>
      <c r="F128" s="5"/>
      <c r="G128" s="5"/>
      <c r="H128" s="5"/>
      <c r="I128" s="5"/>
      <c r="K128" s="5"/>
      <c r="L128" s="5"/>
      <c r="M128" s="5"/>
      <c r="N128" s="5"/>
      <c r="O128" s="5"/>
      <c r="P128" s="5"/>
      <c r="R128" s="5"/>
      <c r="S128" s="5"/>
      <c r="T128" s="5"/>
      <c r="U128" s="5"/>
      <c r="V128" s="5"/>
      <c r="W128" s="5"/>
      <c r="Y128" s="5"/>
      <c r="Z128" s="5"/>
      <c r="AA128" s="5"/>
      <c r="AB128" s="5"/>
      <c r="AC128" s="5"/>
      <c r="AD128" s="5"/>
      <c r="AF128" s="5"/>
      <c r="AG128" s="5"/>
      <c r="AH128" s="5"/>
      <c r="AI128" s="5"/>
      <c r="AJ128" s="5"/>
      <c r="AK128" s="5"/>
      <c r="AM128" s="5"/>
      <c r="AN128" s="5"/>
      <c r="AO128" s="5"/>
      <c r="AP128" s="5"/>
      <c r="AQ128" s="5"/>
      <c r="AR128" s="5"/>
      <c r="AT128" s="5"/>
      <c r="AU128" s="5"/>
      <c r="AV128" s="5"/>
      <c r="AW128" s="5"/>
      <c r="AX128" s="5"/>
      <c r="AY128" s="5"/>
      <c r="BA128" s="5"/>
      <c r="BB128" s="5"/>
      <c r="BC128" s="5"/>
      <c r="BD128" s="5"/>
      <c r="BE128" s="5"/>
      <c r="BF128" s="5"/>
      <c r="BH128" s="5"/>
      <c r="BI128" s="5"/>
      <c r="BJ128" s="5"/>
      <c r="BK128" s="5"/>
      <c r="BL128" s="5"/>
      <c r="BM128" s="5"/>
      <c r="BO128" s="5"/>
      <c r="BP128" s="5"/>
      <c r="BQ128" s="5"/>
      <c r="BR128" s="5"/>
      <c r="BS128" s="5"/>
      <c r="BU128" s="4"/>
      <c r="BV128" s="4"/>
      <c r="BW128" s="4"/>
      <c r="BX128" s="4"/>
    </row>
    <row r="129" spans="4:76" ht="15.75" customHeight="1">
      <c r="D129" s="5"/>
      <c r="E129" s="5"/>
      <c r="F129" s="5"/>
      <c r="G129" s="5"/>
      <c r="H129" s="5"/>
      <c r="I129" s="5"/>
      <c r="K129" s="5"/>
      <c r="L129" s="5"/>
      <c r="M129" s="5"/>
      <c r="N129" s="5"/>
      <c r="O129" s="5"/>
      <c r="P129" s="5"/>
      <c r="R129" s="5"/>
      <c r="S129" s="5"/>
      <c r="T129" s="5"/>
      <c r="U129" s="5"/>
      <c r="V129" s="5"/>
      <c r="W129" s="5"/>
      <c r="Y129" s="5"/>
      <c r="Z129" s="5"/>
      <c r="AA129" s="5"/>
      <c r="AB129" s="5"/>
      <c r="AC129" s="5"/>
      <c r="AD129" s="5"/>
      <c r="AF129" s="5"/>
      <c r="AG129" s="5"/>
      <c r="AH129" s="5"/>
      <c r="AI129" s="5"/>
      <c r="AJ129" s="5"/>
      <c r="AK129" s="5"/>
      <c r="AM129" s="5"/>
      <c r="AN129" s="5"/>
      <c r="AO129" s="5"/>
      <c r="AP129" s="5"/>
      <c r="AQ129" s="5"/>
      <c r="AR129" s="5"/>
      <c r="AT129" s="5"/>
      <c r="AU129" s="5"/>
      <c r="AV129" s="5"/>
      <c r="AW129" s="5"/>
      <c r="AX129" s="5"/>
      <c r="AY129" s="5"/>
      <c r="BA129" s="5"/>
      <c r="BB129" s="5"/>
      <c r="BC129" s="5"/>
      <c r="BD129" s="5"/>
      <c r="BE129" s="5"/>
      <c r="BF129" s="5"/>
      <c r="BH129" s="5"/>
      <c r="BI129" s="5"/>
      <c r="BJ129" s="5"/>
      <c r="BK129" s="5"/>
      <c r="BL129" s="5"/>
      <c r="BM129" s="5"/>
      <c r="BO129" s="5"/>
      <c r="BP129" s="5"/>
      <c r="BQ129" s="5"/>
      <c r="BR129" s="5"/>
      <c r="BS129" s="5"/>
      <c r="BU129" s="4"/>
      <c r="BV129" s="4"/>
      <c r="BW129" s="4"/>
      <c r="BX129" s="4"/>
    </row>
    <row r="130" spans="4:76" ht="15.75" customHeight="1">
      <c r="D130" s="5"/>
      <c r="E130" s="5"/>
      <c r="F130" s="5"/>
      <c r="G130" s="5"/>
      <c r="H130" s="5"/>
      <c r="I130" s="5"/>
      <c r="K130" s="5"/>
      <c r="L130" s="5"/>
      <c r="M130" s="5"/>
      <c r="N130" s="5"/>
      <c r="O130" s="5"/>
      <c r="P130" s="5"/>
      <c r="R130" s="5"/>
      <c r="S130" s="5"/>
      <c r="T130" s="5"/>
      <c r="U130" s="5"/>
      <c r="V130" s="5"/>
      <c r="W130" s="5"/>
      <c r="Y130" s="5"/>
      <c r="Z130" s="5"/>
      <c r="AA130" s="5"/>
      <c r="AB130" s="5"/>
      <c r="AC130" s="5"/>
      <c r="AD130" s="5"/>
      <c r="AF130" s="5"/>
      <c r="AG130" s="5"/>
      <c r="AH130" s="5"/>
      <c r="AI130" s="5"/>
      <c r="AJ130" s="5"/>
      <c r="AK130" s="5"/>
      <c r="AM130" s="5"/>
      <c r="AN130" s="5"/>
      <c r="AO130" s="5"/>
      <c r="AP130" s="5"/>
      <c r="AQ130" s="5"/>
      <c r="AR130" s="5"/>
      <c r="AT130" s="5"/>
      <c r="AU130" s="5"/>
      <c r="AV130" s="5"/>
      <c r="AW130" s="5"/>
      <c r="AX130" s="5"/>
      <c r="AY130" s="5"/>
      <c r="BA130" s="5"/>
      <c r="BB130" s="5"/>
      <c r="BC130" s="5"/>
      <c r="BD130" s="5"/>
      <c r="BE130" s="5"/>
      <c r="BF130" s="5"/>
      <c r="BH130" s="5"/>
      <c r="BI130" s="5"/>
      <c r="BJ130" s="5"/>
      <c r="BK130" s="5"/>
      <c r="BL130" s="5"/>
      <c r="BM130" s="5"/>
      <c r="BO130" s="5"/>
      <c r="BP130" s="5"/>
      <c r="BQ130" s="5"/>
      <c r="BR130" s="5"/>
      <c r="BS130" s="5"/>
      <c r="BU130" s="4"/>
      <c r="BV130" s="4"/>
      <c r="BW130" s="4"/>
      <c r="BX130" s="4"/>
    </row>
    <row r="131" spans="4:76" ht="15.75" customHeight="1">
      <c r="D131" s="5"/>
      <c r="E131" s="5"/>
      <c r="F131" s="5"/>
      <c r="G131" s="5"/>
      <c r="H131" s="5"/>
      <c r="I131" s="5"/>
      <c r="K131" s="5"/>
      <c r="L131" s="5"/>
      <c r="M131" s="5"/>
      <c r="N131" s="5"/>
      <c r="O131" s="5"/>
      <c r="P131" s="5"/>
      <c r="R131" s="5"/>
      <c r="S131" s="5"/>
      <c r="T131" s="5"/>
      <c r="U131" s="5"/>
      <c r="V131" s="5"/>
      <c r="W131" s="5"/>
      <c r="Y131" s="5"/>
      <c r="Z131" s="5"/>
      <c r="AA131" s="5"/>
      <c r="AB131" s="5"/>
      <c r="AC131" s="5"/>
      <c r="AD131" s="5"/>
      <c r="AF131" s="5"/>
      <c r="AG131" s="5"/>
      <c r="AH131" s="5"/>
      <c r="AI131" s="5"/>
      <c r="AJ131" s="5"/>
      <c r="AK131" s="5"/>
      <c r="AM131" s="5"/>
      <c r="AN131" s="5"/>
      <c r="AO131" s="5"/>
      <c r="AP131" s="5"/>
      <c r="AQ131" s="5"/>
      <c r="AR131" s="5"/>
      <c r="AT131" s="5"/>
      <c r="AU131" s="5"/>
      <c r="AV131" s="5"/>
      <c r="AW131" s="5"/>
      <c r="AX131" s="5"/>
      <c r="AY131" s="5"/>
      <c r="BA131" s="5"/>
      <c r="BB131" s="5"/>
      <c r="BC131" s="5"/>
      <c r="BD131" s="5"/>
      <c r="BE131" s="5"/>
      <c r="BF131" s="5"/>
      <c r="BH131" s="5"/>
      <c r="BI131" s="5"/>
      <c r="BJ131" s="5"/>
      <c r="BK131" s="5"/>
      <c r="BL131" s="5"/>
      <c r="BM131" s="5"/>
      <c r="BO131" s="5"/>
      <c r="BP131" s="5"/>
      <c r="BQ131" s="5"/>
      <c r="BR131" s="5"/>
      <c r="BS131" s="5"/>
      <c r="BU131" s="4"/>
      <c r="BV131" s="4"/>
      <c r="BW131" s="4"/>
      <c r="BX131" s="4"/>
    </row>
    <row r="132" spans="4:76" ht="15.75" customHeight="1">
      <c r="D132" s="5"/>
      <c r="E132" s="5"/>
      <c r="F132" s="5"/>
      <c r="G132" s="5"/>
      <c r="H132" s="5"/>
      <c r="I132" s="5"/>
      <c r="K132" s="5"/>
      <c r="L132" s="5"/>
      <c r="M132" s="5"/>
      <c r="N132" s="5"/>
      <c r="O132" s="5"/>
      <c r="P132" s="5"/>
      <c r="R132" s="5"/>
      <c r="S132" s="5"/>
      <c r="T132" s="5"/>
      <c r="U132" s="5"/>
      <c r="V132" s="5"/>
      <c r="W132" s="5"/>
      <c r="Y132" s="5"/>
      <c r="Z132" s="5"/>
      <c r="AA132" s="5"/>
      <c r="AB132" s="5"/>
      <c r="AC132" s="5"/>
      <c r="AD132" s="5"/>
      <c r="AF132" s="5"/>
      <c r="AG132" s="5"/>
      <c r="AH132" s="5"/>
      <c r="AI132" s="5"/>
      <c r="AJ132" s="5"/>
      <c r="AK132" s="5"/>
      <c r="AM132" s="5"/>
      <c r="AN132" s="5"/>
      <c r="AO132" s="5"/>
      <c r="AP132" s="5"/>
      <c r="AQ132" s="5"/>
      <c r="AR132" s="5"/>
      <c r="AT132" s="5"/>
      <c r="AU132" s="5"/>
      <c r="AV132" s="5"/>
      <c r="AW132" s="5"/>
      <c r="AX132" s="5"/>
      <c r="AY132" s="5"/>
      <c r="BA132" s="5"/>
      <c r="BB132" s="5"/>
      <c r="BC132" s="5"/>
      <c r="BD132" s="5"/>
      <c r="BE132" s="5"/>
      <c r="BF132" s="5"/>
      <c r="BH132" s="5"/>
      <c r="BI132" s="5"/>
      <c r="BJ132" s="5"/>
      <c r="BK132" s="5"/>
      <c r="BL132" s="5"/>
      <c r="BM132" s="5"/>
      <c r="BO132" s="5"/>
      <c r="BP132" s="5"/>
      <c r="BQ132" s="5"/>
      <c r="BR132" s="5"/>
      <c r="BS132" s="5"/>
      <c r="BU132" s="4"/>
      <c r="BV132" s="4"/>
      <c r="BW132" s="4"/>
      <c r="BX132" s="4"/>
    </row>
    <row r="133" spans="4:76" ht="15.75" customHeight="1">
      <c r="D133" s="5"/>
      <c r="E133" s="5"/>
      <c r="F133" s="5"/>
      <c r="G133" s="5"/>
      <c r="H133" s="5"/>
      <c r="I133" s="5"/>
      <c r="K133" s="5"/>
      <c r="L133" s="5"/>
      <c r="M133" s="5"/>
      <c r="N133" s="5"/>
      <c r="O133" s="5"/>
      <c r="P133" s="5"/>
      <c r="R133" s="5"/>
      <c r="S133" s="5"/>
      <c r="T133" s="5"/>
      <c r="U133" s="5"/>
      <c r="V133" s="5"/>
      <c r="W133" s="5"/>
      <c r="Y133" s="5"/>
      <c r="Z133" s="5"/>
      <c r="AA133" s="5"/>
      <c r="AB133" s="5"/>
      <c r="AC133" s="5"/>
      <c r="AD133" s="5"/>
      <c r="AF133" s="5"/>
      <c r="AG133" s="5"/>
      <c r="AH133" s="5"/>
      <c r="AI133" s="5"/>
      <c r="AJ133" s="5"/>
      <c r="AK133" s="5"/>
      <c r="AM133" s="5"/>
      <c r="AN133" s="5"/>
      <c r="AO133" s="5"/>
      <c r="AP133" s="5"/>
      <c r="AQ133" s="5"/>
      <c r="AR133" s="5"/>
      <c r="AT133" s="5"/>
      <c r="AU133" s="5"/>
      <c r="AV133" s="5"/>
      <c r="AW133" s="5"/>
      <c r="AX133" s="5"/>
      <c r="AY133" s="5"/>
      <c r="BA133" s="5"/>
      <c r="BB133" s="5"/>
      <c r="BC133" s="5"/>
      <c r="BD133" s="5"/>
      <c r="BE133" s="5"/>
      <c r="BF133" s="5"/>
      <c r="BH133" s="5"/>
      <c r="BI133" s="5"/>
      <c r="BJ133" s="5"/>
      <c r="BK133" s="5"/>
      <c r="BL133" s="5"/>
      <c r="BM133" s="5"/>
      <c r="BO133" s="5"/>
      <c r="BP133" s="5"/>
      <c r="BQ133" s="5"/>
      <c r="BR133" s="5"/>
      <c r="BS133" s="5"/>
      <c r="BU133" s="4"/>
      <c r="BV133" s="4"/>
      <c r="BW133" s="4"/>
      <c r="BX133" s="4"/>
    </row>
    <row r="134" spans="4:76" ht="15.75" customHeight="1">
      <c r="D134" s="5"/>
      <c r="E134" s="5"/>
      <c r="F134" s="5"/>
      <c r="G134" s="5"/>
      <c r="H134" s="5"/>
      <c r="I134" s="5"/>
      <c r="K134" s="5"/>
      <c r="L134" s="5"/>
      <c r="M134" s="5"/>
      <c r="N134" s="5"/>
      <c r="O134" s="5"/>
      <c r="P134" s="5"/>
      <c r="R134" s="5"/>
      <c r="S134" s="5"/>
      <c r="T134" s="5"/>
      <c r="U134" s="5"/>
      <c r="V134" s="5"/>
      <c r="W134" s="5"/>
      <c r="Y134" s="5"/>
      <c r="Z134" s="5"/>
      <c r="AA134" s="5"/>
      <c r="AB134" s="5"/>
      <c r="AC134" s="5"/>
      <c r="AD134" s="5"/>
      <c r="AF134" s="5"/>
      <c r="AG134" s="5"/>
      <c r="AH134" s="5"/>
      <c r="AI134" s="5"/>
      <c r="AJ134" s="5"/>
      <c r="AK134" s="5"/>
      <c r="AM134" s="5"/>
      <c r="AN134" s="5"/>
      <c r="AO134" s="5"/>
      <c r="AP134" s="5"/>
      <c r="AQ134" s="5"/>
      <c r="AR134" s="5"/>
      <c r="AT134" s="5"/>
      <c r="AU134" s="5"/>
      <c r="AV134" s="5"/>
      <c r="AW134" s="5"/>
      <c r="AX134" s="5"/>
      <c r="AY134" s="5"/>
      <c r="BA134" s="5"/>
      <c r="BB134" s="5"/>
      <c r="BC134" s="5"/>
      <c r="BD134" s="5"/>
      <c r="BE134" s="5"/>
      <c r="BF134" s="5"/>
      <c r="BH134" s="5"/>
      <c r="BI134" s="5"/>
      <c r="BJ134" s="5"/>
      <c r="BK134" s="5"/>
      <c r="BL134" s="5"/>
      <c r="BM134" s="5"/>
      <c r="BO134" s="5"/>
      <c r="BP134" s="5"/>
      <c r="BQ134" s="5"/>
      <c r="BR134" s="5"/>
      <c r="BS134" s="5"/>
      <c r="BU134" s="4"/>
      <c r="BV134" s="4"/>
      <c r="BW134" s="4"/>
      <c r="BX134" s="4"/>
    </row>
    <row r="135" spans="4:76" ht="15.75" customHeight="1">
      <c r="D135" s="5"/>
      <c r="E135" s="5"/>
      <c r="F135" s="5"/>
      <c r="G135" s="5"/>
      <c r="H135" s="5"/>
      <c r="I135" s="5"/>
      <c r="K135" s="5"/>
      <c r="L135" s="5"/>
      <c r="M135" s="5"/>
      <c r="N135" s="5"/>
      <c r="O135" s="5"/>
      <c r="P135" s="5"/>
      <c r="R135" s="5"/>
      <c r="S135" s="5"/>
      <c r="T135" s="5"/>
      <c r="U135" s="5"/>
      <c r="V135" s="5"/>
      <c r="W135" s="5"/>
      <c r="Y135" s="5"/>
      <c r="Z135" s="5"/>
      <c r="AA135" s="5"/>
      <c r="AB135" s="5"/>
      <c r="AC135" s="5"/>
      <c r="AD135" s="5"/>
      <c r="AF135" s="5"/>
      <c r="AG135" s="5"/>
      <c r="AH135" s="5"/>
      <c r="AI135" s="5"/>
      <c r="AJ135" s="5"/>
      <c r="AK135" s="5"/>
      <c r="AM135" s="5"/>
      <c r="AN135" s="5"/>
      <c r="AO135" s="5"/>
      <c r="AP135" s="5"/>
      <c r="AQ135" s="5"/>
      <c r="AR135" s="5"/>
      <c r="AT135" s="5"/>
      <c r="AU135" s="5"/>
      <c r="AV135" s="5"/>
      <c r="AW135" s="5"/>
      <c r="AX135" s="5"/>
      <c r="AY135" s="5"/>
      <c r="BA135" s="5"/>
      <c r="BB135" s="5"/>
      <c r="BC135" s="5"/>
      <c r="BD135" s="5"/>
      <c r="BE135" s="5"/>
      <c r="BF135" s="5"/>
      <c r="BH135" s="5"/>
      <c r="BI135" s="5"/>
      <c r="BJ135" s="5"/>
      <c r="BK135" s="5"/>
      <c r="BL135" s="5"/>
      <c r="BM135" s="5"/>
      <c r="BO135" s="5"/>
      <c r="BP135" s="5"/>
      <c r="BQ135" s="5"/>
      <c r="BR135" s="5"/>
      <c r="BS135" s="5"/>
      <c r="BU135" s="4"/>
      <c r="BV135" s="4"/>
      <c r="BW135" s="4"/>
      <c r="BX135" s="4"/>
    </row>
    <row r="136" spans="4:76" ht="15.75" customHeight="1">
      <c r="D136" s="5"/>
      <c r="E136" s="5"/>
      <c r="F136" s="5"/>
      <c r="G136" s="5"/>
      <c r="H136" s="5"/>
      <c r="I136" s="5"/>
      <c r="K136" s="5"/>
      <c r="L136" s="5"/>
      <c r="M136" s="5"/>
      <c r="N136" s="5"/>
      <c r="O136" s="5"/>
      <c r="P136" s="5"/>
      <c r="R136" s="5"/>
      <c r="S136" s="5"/>
      <c r="T136" s="5"/>
      <c r="U136" s="5"/>
      <c r="V136" s="5"/>
      <c r="W136" s="5"/>
      <c r="Y136" s="5"/>
      <c r="Z136" s="5"/>
      <c r="AA136" s="5"/>
      <c r="AB136" s="5"/>
      <c r="AC136" s="5"/>
      <c r="AD136" s="5"/>
      <c r="AF136" s="5"/>
      <c r="AG136" s="5"/>
      <c r="AH136" s="5"/>
      <c r="AI136" s="5"/>
      <c r="AJ136" s="5"/>
      <c r="AK136" s="5"/>
      <c r="AM136" s="5"/>
      <c r="AN136" s="5"/>
      <c r="AO136" s="5"/>
      <c r="AP136" s="5"/>
      <c r="AQ136" s="5"/>
      <c r="AR136" s="5"/>
      <c r="AT136" s="5"/>
      <c r="AU136" s="5"/>
      <c r="AV136" s="5"/>
      <c r="AW136" s="5"/>
      <c r="AX136" s="5"/>
      <c r="AY136" s="5"/>
      <c r="BA136" s="5"/>
      <c r="BB136" s="5"/>
      <c r="BC136" s="5"/>
      <c r="BD136" s="5"/>
      <c r="BE136" s="5"/>
      <c r="BF136" s="5"/>
      <c r="BH136" s="5"/>
      <c r="BI136" s="5"/>
      <c r="BJ136" s="5"/>
      <c r="BK136" s="5"/>
      <c r="BL136" s="5"/>
      <c r="BM136" s="5"/>
      <c r="BO136" s="5"/>
      <c r="BP136" s="5"/>
      <c r="BQ136" s="5"/>
      <c r="BR136" s="5"/>
      <c r="BS136" s="5"/>
      <c r="BU136" s="4"/>
      <c r="BV136" s="4"/>
      <c r="BW136" s="4"/>
      <c r="BX136" s="4"/>
    </row>
    <row r="137" spans="4:76" ht="15.75" customHeight="1">
      <c r="D137" s="5"/>
      <c r="E137" s="5"/>
      <c r="F137" s="5"/>
      <c r="G137" s="5"/>
      <c r="H137" s="5"/>
      <c r="I137" s="5"/>
      <c r="K137" s="5"/>
      <c r="L137" s="5"/>
      <c r="M137" s="5"/>
      <c r="N137" s="5"/>
      <c r="O137" s="5"/>
      <c r="P137" s="5"/>
      <c r="R137" s="5"/>
      <c r="S137" s="5"/>
      <c r="T137" s="5"/>
      <c r="U137" s="5"/>
      <c r="V137" s="5"/>
      <c r="W137" s="5"/>
      <c r="Y137" s="5"/>
      <c r="Z137" s="5"/>
      <c r="AA137" s="5"/>
      <c r="AB137" s="5"/>
      <c r="AC137" s="5"/>
      <c r="AD137" s="5"/>
      <c r="AF137" s="5"/>
      <c r="AG137" s="5"/>
      <c r="AH137" s="5"/>
      <c r="AI137" s="5"/>
      <c r="AJ137" s="5"/>
      <c r="AK137" s="5"/>
      <c r="AM137" s="5"/>
      <c r="AN137" s="5"/>
      <c r="AO137" s="5"/>
      <c r="AP137" s="5"/>
      <c r="AQ137" s="5"/>
      <c r="AR137" s="5"/>
      <c r="AT137" s="5"/>
      <c r="AU137" s="5"/>
      <c r="AV137" s="5"/>
      <c r="AW137" s="5"/>
      <c r="AX137" s="5"/>
      <c r="AY137" s="5"/>
      <c r="BA137" s="5"/>
      <c r="BB137" s="5"/>
      <c r="BC137" s="5"/>
      <c r="BD137" s="5"/>
      <c r="BE137" s="5"/>
      <c r="BF137" s="5"/>
      <c r="BH137" s="5"/>
      <c r="BI137" s="5"/>
      <c r="BJ137" s="5"/>
      <c r="BK137" s="5"/>
      <c r="BL137" s="5"/>
      <c r="BM137" s="5"/>
      <c r="BO137" s="5"/>
      <c r="BP137" s="5"/>
      <c r="BQ137" s="5"/>
      <c r="BR137" s="5"/>
      <c r="BS137" s="5"/>
      <c r="BU137" s="4"/>
      <c r="BV137" s="4"/>
      <c r="BW137" s="4"/>
      <c r="BX137" s="4"/>
    </row>
    <row r="138" spans="4:76" ht="15.75" customHeight="1">
      <c r="D138" s="5"/>
      <c r="E138" s="5"/>
      <c r="F138" s="5"/>
      <c r="G138" s="5"/>
      <c r="H138" s="5"/>
      <c r="I138" s="5"/>
      <c r="K138" s="5"/>
      <c r="L138" s="5"/>
      <c r="M138" s="5"/>
      <c r="N138" s="5"/>
      <c r="O138" s="5"/>
      <c r="P138" s="5"/>
      <c r="R138" s="5"/>
      <c r="S138" s="5"/>
      <c r="T138" s="5"/>
      <c r="U138" s="5"/>
      <c r="V138" s="5"/>
      <c r="W138" s="5"/>
      <c r="Y138" s="5"/>
      <c r="Z138" s="5"/>
      <c r="AA138" s="5"/>
      <c r="AB138" s="5"/>
      <c r="AC138" s="5"/>
      <c r="AD138" s="5"/>
      <c r="AF138" s="5"/>
      <c r="AG138" s="5"/>
      <c r="AH138" s="5"/>
      <c r="AI138" s="5"/>
      <c r="AJ138" s="5"/>
      <c r="AK138" s="5"/>
      <c r="AM138" s="5"/>
      <c r="AN138" s="5"/>
      <c r="AO138" s="5"/>
      <c r="AP138" s="5"/>
      <c r="AQ138" s="5"/>
      <c r="AR138" s="5"/>
      <c r="AT138" s="5"/>
      <c r="AU138" s="5"/>
      <c r="AV138" s="5"/>
      <c r="AW138" s="5"/>
      <c r="AX138" s="5"/>
      <c r="AY138" s="5"/>
      <c r="BA138" s="5"/>
      <c r="BB138" s="5"/>
      <c r="BC138" s="5"/>
      <c r="BD138" s="5"/>
      <c r="BE138" s="5"/>
      <c r="BF138" s="5"/>
      <c r="BH138" s="5"/>
      <c r="BI138" s="5"/>
      <c r="BJ138" s="5"/>
      <c r="BK138" s="5"/>
      <c r="BL138" s="5"/>
      <c r="BM138" s="5"/>
      <c r="BO138" s="5"/>
      <c r="BP138" s="5"/>
      <c r="BQ138" s="5"/>
      <c r="BR138" s="5"/>
      <c r="BS138" s="5"/>
      <c r="BU138" s="4"/>
      <c r="BV138" s="4"/>
      <c r="BW138" s="4"/>
      <c r="BX138" s="4"/>
    </row>
    <row r="139" spans="4:76" ht="15.75" customHeight="1">
      <c r="D139" s="5"/>
      <c r="E139" s="5"/>
      <c r="F139" s="5"/>
      <c r="G139" s="5"/>
      <c r="H139" s="5"/>
      <c r="I139" s="5"/>
      <c r="K139" s="5"/>
      <c r="L139" s="5"/>
      <c r="M139" s="5"/>
      <c r="N139" s="5"/>
      <c r="O139" s="5"/>
      <c r="P139" s="5"/>
      <c r="R139" s="5"/>
      <c r="S139" s="5"/>
      <c r="T139" s="5"/>
      <c r="U139" s="5"/>
      <c r="V139" s="5"/>
      <c r="W139" s="5"/>
      <c r="Y139" s="5"/>
      <c r="Z139" s="5"/>
      <c r="AA139" s="5"/>
      <c r="AB139" s="5"/>
      <c r="AC139" s="5"/>
      <c r="AD139" s="5"/>
      <c r="AF139" s="5"/>
      <c r="AG139" s="5"/>
      <c r="AH139" s="5"/>
      <c r="AI139" s="5"/>
      <c r="AJ139" s="5"/>
      <c r="AK139" s="5"/>
      <c r="AM139" s="5"/>
      <c r="AN139" s="5"/>
      <c r="AO139" s="5"/>
      <c r="AP139" s="5"/>
      <c r="AQ139" s="5"/>
      <c r="AR139" s="5"/>
      <c r="AT139" s="5"/>
      <c r="AU139" s="5"/>
      <c r="AV139" s="5"/>
      <c r="AW139" s="5"/>
      <c r="AX139" s="5"/>
      <c r="AY139" s="5"/>
      <c r="BA139" s="5"/>
      <c r="BB139" s="5"/>
      <c r="BC139" s="5"/>
      <c r="BD139" s="5"/>
      <c r="BE139" s="5"/>
      <c r="BF139" s="5"/>
      <c r="BH139" s="5"/>
      <c r="BI139" s="5"/>
      <c r="BJ139" s="5"/>
      <c r="BK139" s="5"/>
      <c r="BL139" s="5"/>
      <c r="BM139" s="5"/>
      <c r="BO139" s="5"/>
      <c r="BP139" s="5"/>
      <c r="BQ139" s="5"/>
      <c r="BR139" s="5"/>
      <c r="BS139" s="5"/>
      <c r="BU139" s="4"/>
      <c r="BV139" s="4"/>
      <c r="BW139" s="4"/>
      <c r="BX139" s="4"/>
    </row>
    <row r="140" spans="4:76" ht="15.75" customHeight="1">
      <c r="D140" s="5"/>
      <c r="E140" s="5"/>
      <c r="F140" s="5"/>
      <c r="G140" s="5"/>
      <c r="H140" s="5"/>
      <c r="I140" s="5"/>
      <c r="K140" s="5"/>
      <c r="L140" s="5"/>
      <c r="M140" s="5"/>
      <c r="N140" s="5"/>
      <c r="O140" s="5"/>
      <c r="P140" s="5"/>
      <c r="R140" s="5"/>
      <c r="S140" s="5"/>
      <c r="T140" s="5"/>
      <c r="U140" s="5"/>
      <c r="V140" s="5"/>
      <c r="W140" s="5"/>
      <c r="Y140" s="5"/>
      <c r="Z140" s="5"/>
      <c r="AA140" s="5"/>
      <c r="AB140" s="5"/>
      <c r="AC140" s="5"/>
      <c r="AD140" s="5"/>
      <c r="AF140" s="5"/>
      <c r="AG140" s="5"/>
      <c r="AH140" s="5"/>
      <c r="AI140" s="5"/>
      <c r="AJ140" s="5"/>
      <c r="AK140" s="5"/>
      <c r="AM140" s="5"/>
      <c r="AN140" s="5"/>
      <c r="AO140" s="5"/>
      <c r="AP140" s="5"/>
      <c r="AQ140" s="5"/>
      <c r="AR140" s="5"/>
      <c r="AT140" s="5"/>
      <c r="AU140" s="5"/>
      <c r="AV140" s="5"/>
      <c r="AW140" s="5"/>
      <c r="AX140" s="5"/>
      <c r="AY140" s="5"/>
      <c r="BA140" s="5"/>
      <c r="BB140" s="5"/>
      <c r="BC140" s="5"/>
      <c r="BD140" s="5"/>
      <c r="BE140" s="5"/>
      <c r="BF140" s="5"/>
      <c r="BH140" s="5"/>
      <c r="BI140" s="5"/>
      <c r="BJ140" s="5"/>
      <c r="BK140" s="5"/>
      <c r="BL140" s="5"/>
      <c r="BM140" s="5"/>
      <c r="BO140" s="5"/>
      <c r="BP140" s="5"/>
      <c r="BQ140" s="5"/>
      <c r="BR140" s="5"/>
      <c r="BS140" s="5"/>
      <c r="BU140" s="4"/>
      <c r="BV140" s="4"/>
      <c r="BW140" s="4"/>
      <c r="BX140" s="4"/>
    </row>
    <row r="141" spans="4:76" ht="15.75" customHeight="1">
      <c r="D141" s="5"/>
      <c r="E141" s="5"/>
      <c r="F141" s="5"/>
      <c r="G141" s="5"/>
      <c r="H141" s="5"/>
      <c r="I141" s="5"/>
      <c r="K141" s="5"/>
      <c r="L141" s="5"/>
      <c r="M141" s="5"/>
      <c r="N141" s="5"/>
      <c r="O141" s="5"/>
      <c r="P141" s="5"/>
      <c r="R141" s="5"/>
      <c r="S141" s="5"/>
      <c r="T141" s="5"/>
      <c r="U141" s="5"/>
      <c r="V141" s="5"/>
      <c r="W141" s="5"/>
      <c r="Y141" s="5"/>
      <c r="Z141" s="5"/>
      <c r="AA141" s="5"/>
      <c r="AB141" s="5"/>
      <c r="AC141" s="5"/>
      <c r="AD141" s="5"/>
      <c r="AF141" s="5"/>
      <c r="AG141" s="5"/>
      <c r="AH141" s="5"/>
      <c r="AI141" s="5"/>
      <c r="AJ141" s="5"/>
      <c r="AK141" s="5"/>
      <c r="AM141" s="5"/>
      <c r="AN141" s="5"/>
      <c r="AO141" s="5"/>
      <c r="AP141" s="5"/>
      <c r="AQ141" s="5"/>
      <c r="AR141" s="5"/>
      <c r="AT141" s="5"/>
      <c r="AU141" s="5"/>
      <c r="AV141" s="5"/>
      <c r="AW141" s="5"/>
      <c r="AX141" s="5"/>
      <c r="AY141" s="5"/>
      <c r="BA141" s="5"/>
      <c r="BB141" s="5"/>
      <c r="BC141" s="5"/>
      <c r="BD141" s="5"/>
      <c r="BE141" s="5"/>
      <c r="BF141" s="5"/>
      <c r="BH141" s="5"/>
      <c r="BI141" s="5"/>
      <c r="BJ141" s="5"/>
      <c r="BK141" s="5"/>
      <c r="BL141" s="5"/>
      <c r="BM141" s="5"/>
      <c r="BO141" s="5"/>
      <c r="BP141" s="5"/>
      <c r="BQ141" s="5"/>
      <c r="BR141" s="5"/>
      <c r="BS141" s="5"/>
      <c r="BU141" s="4"/>
      <c r="BV141" s="4"/>
      <c r="BW141" s="4"/>
      <c r="BX141" s="4"/>
    </row>
    <row r="142" spans="4:76" ht="15.75" customHeight="1">
      <c r="D142" s="5"/>
      <c r="E142" s="5"/>
      <c r="F142" s="5"/>
      <c r="G142" s="5"/>
      <c r="H142" s="5"/>
      <c r="I142" s="5"/>
      <c r="K142" s="5"/>
      <c r="L142" s="5"/>
      <c r="M142" s="5"/>
      <c r="N142" s="5"/>
      <c r="O142" s="5"/>
      <c r="P142" s="5"/>
      <c r="R142" s="5"/>
      <c r="S142" s="5"/>
      <c r="T142" s="5"/>
      <c r="U142" s="5"/>
      <c r="V142" s="5"/>
      <c r="W142" s="5"/>
      <c r="Y142" s="5"/>
      <c r="Z142" s="5"/>
      <c r="AA142" s="5"/>
      <c r="AB142" s="5"/>
      <c r="AC142" s="5"/>
      <c r="AD142" s="5"/>
      <c r="AF142" s="5"/>
      <c r="AG142" s="5"/>
      <c r="AH142" s="5"/>
      <c r="AI142" s="5"/>
      <c r="AJ142" s="5"/>
      <c r="AK142" s="5"/>
      <c r="AM142" s="5"/>
      <c r="AN142" s="5"/>
      <c r="AO142" s="5"/>
      <c r="AP142" s="5"/>
      <c r="AQ142" s="5"/>
      <c r="AR142" s="5"/>
      <c r="AT142" s="5"/>
      <c r="AU142" s="5"/>
      <c r="AV142" s="5"/>
      <c r="AW142" s="5"/>
      <c r="AX142" s="5"/>
      <c r="AY142" s="5"/>
      <c r="BA142" s="5"/>
      <c r="BB142" s="5"/>
      <c r="BC142" s="5"/>
      <c r="BD142" s="5"/>
      <c r="BE142" s="5"/>
      <c r="BF142" s="5"/>
      <c r="BH142" s="5"/>
      <c r="BI142" s="5"/>
      <c r="BJ142" s="5"/>
      <c r="BK142" s="5"/>
      <c r="BL142" s="5"/>
      <c r="BM142" s="5"/>
      <c r="BO142" s="5"/>
      <c r="BP142" s="5"/>
      <c r="BQ142" s="5"/>
      <c r="BR142" s="5"/>
      <c r="BS142" s="5"/>
      <c r="BU142" s="4"/>
      <c r="BV142" s="4"/>
      <c r="BW142" s="4"/>
      <c r="BX142" s="4"/>
    </row>
    <row r="143" spans="4:76" ht="15.75" customHeight="1">
      <c r="D143" s="5"/>
      <c r="E143" s="5"/>
      <c r="F143" s="5"/>
      <c r="G143" s="5"/>
      <c r="H143" s="5"/>
      <c r="I143" s="5"/>
      <c r="K143" s="5"/>
      <c r="L143" s="5"/>
      <c r="M143" s="5"/>
      <c r="N143" s="5"/>
      <c r="O143" s="5"/>
      <c r="P143" s="5"/>
      <c r="R143" s="5"/>
      <c r="S143" s="5"/>
      <c r="T143" s="5"/>
      <c r="U143" s="5"/>
      <c r="V143" s="5"/>
      <c r="W143" s="5"/>
      <c r="Y143" s="5"/>
      <c r="Z143" s="5"/>
      <c r="AA143" s="5"/>
      <c r="AB143" s="5"/>
      <c r="AC143" s="5"/>
      <c r="AD143" s="5"/>
      <c r="AF143" s="5"/>
      <c r="AG143" s="5"/>
      <c r="AH143" s="5"/>
      <c r="AI143" s="5"/>
      <c r="AJ143" s="5"/>
      <c r="AK143" s="5"/>
      <c r="AM143" s="5"/>
      <c r="AN143" s="5"/>
      <c r="AO143" s="5"/>
      <c r="AP143" s="5"/>
      <c r="AQ143" s="5"/>
      <c r="AR143" s="5"/>
      <c r="AT143" s="5"/>
      <c r="AU143" s="5"/>
      <c r="AV143" s="5"/>
      <c r="AW143" s="5"/>
      <c r="AX143" s="5"/>
      <c r="AY143" s="5"/>
      <c r="BA143" s="5"/>
      <c r="BB143" s="5"/>
      <c r="BC143" s="5"/>
      <c r="BD143" s="5"/>
      <c r="BE143" s="5"/>
      <c r="BF143" s="5"/>
      <c r="BH143" s="5"/>
      <c r="BI143" s="5"/>
      <c r="BJ143" s="5"/>
      <c r="BK143" s="5"/>
      <c r="BL143" s="5"/>
      <c r="BM143" s="5"/>
      <c r="BO143" s="5"/>
      <c r="BP143" s="5"/>
      <c r="BQ143" s="5"/>
      <c r="BR143" s="5"/>
      <c r="BS143" s="5"/>
      <c r="BU143" s="4"/>
      <c r="BV143" s="4"/>
      <c r="BW143" s="4"/>
      <c r="BX143" s="4"/>
    </row>
    <row r="144" spans="4:76" ht="15.75" customHeight="1">
      <c r="D144" s="5"/>
      <c r="E144" s="5"/>
      <c r="F144" s="5"/>
      <c r="G144" s="5"/>
      <c r="H144" s="5"/>
      <c r="I144" s="5"/>
      <c r="K144" s="5"/>
      <c r="L144" s="5"/>
      <c r="M144" s="5"/>
      <c r="N144" s="5"/>
      <c r="O144" s="5"/>
      <c r="P144" s="5"/>
      <c r="R144" s="5"/>
      <c r="S144" s="5"/>
      <c r="T144" s="5"/>
      <c r="U144" s="5"/>
      <c r="V144" s="5"/>
      <c r="W144" s="5"/>
      <c r="Y144" s="5"/>
      <c r="Z144" s="5"/>
      <c r="AA144" s="5"/>
      <c r="AB144" s="5"/>
      <c r="AC144" s="5"/>
      <c r="AD144" s="5"/>
      <c r="AF144" s="5"/>
      <c r="AG144" s="5"/>
      <c r="AH144" s="5"/>
      <c r="AI144" s="5"/>
      <c r="AJ144" s="5"/>
      <c r="AK144" s="5"/>
      <c r="AM144" s="5"/>
      <c r="AN144" s="5"/>
      <c r="AO144" s="5"/>
      <c r="AP144" s="5"/>
      <c r="AQ144" s="5"/>
      <c r="AR144" s="5"/>
      <c r="AT144" s="5"/>
      <c r="AU144" s="5"/>
      <c r="AV144" s="5"/>
      <c r="AW144" s="5"/>
      <c r="AX144" s="5"/>
      <c r="AY144" s="5"/>
      <c r="BA144" s="5"/>
      <c r="BB144" s="5"/>
      <c r="BC144" s="5"/>
      <c r="BD144" s="5"/>
      <c r="BE144" s="5"/>
      <c r="BF144" s="5"/>
      <c r="BH144" s="5"/>
      <c r="BI144" s="5"/>
      <c r="BJ144" s="5"/>
      <c r="BK144" s="5"/>
      <c r="BL144" s="5"/>
      <c r="BM144" s="5"/>
      <c r="BO144" s="5"/>
      <c r="BP144" s="5"/>
      <c r="BQ144" s="5"/>
      <c r="BR144" s="5"/>
      <c r="BS144" s="5"/>
      <c r="BU144" s="4"/>
      <c r="BV144" s="4"/>
      <c r="BW144" s="4"/>
      <c r="BX144" s="4"/>
    </row>
    <row r="145" spans="4:76" ht="15.75" customHeight="1">
      <c r="D145" s="5"/>
      <c r="E145" s="5"/>
      <c r="F145" s="5"/>
      <c r="G145" s="5"/>
      <c r="H145" s="5"/>
      <c r="I145" s="5"/>
      <c r="K145" s="5"/>
      <c r="L145" s="5"/>
      <c r="M145" s="5"/>
      <c r="N145" s="5"/>
      <c r="O145" s="5"/>
      <c r="P145" s="5"/>
      <c r="R145" s="5"/>
      <c r="S145" s="5"/>
      <c r="T145" s="5"/>
      <c r="U145" s="5"/>
      <c r="V145" s="5"/>
      <c r="W145" s="5"/>
      <c r="Y145" s="5"/>
      <c r="Z145" s="5"/>
      <c r="AA145" s="5"/>
      <c r="AB145" s="5"/>
      <c r="AC145" s="5"/>
      <c r="AD145" s="5"/>
      <c r="AF145" s="5"/>
      <c r="AG145" s="5"/>
      <c r="AH145" s="5"/>
      <c r="AI145" s="5"/>
      <c r="AJ145" s="5"/>
      <c r="AK145" s="5"/>
      <c r="AM145" s="5"/>
      <c r="AN145" s="5"/>
      <c r="AO145" s="5"/>
      <c r="AP145" s="5"/>
      <c r="AQ145" s="5"/>
      <c r="AR145" s="5"/>
      <c r="AT145" s="5"/>
      <c r="AU145" s="5"/>
      <c r="AV145" s="5"/>
      <c r="AW145" s="5"/>
      <c r="AX145" s="5"/>
      <c r="AY145" s="5"/>
      <c r="BA145" s="5"/>
      <c r="BB145" s="5"/>
      <c r="BC145" s="5"/>
      <c r="BD145" s="5"/>
      <c r="BE145" s="5"/>
      <c r="BF145" s="5"/>
      <c r="BH145" s="5"/>
      <c r="BI145" s="5"/>
      <c r="BJ145" s="5"/>
      <c r="BK145" s="5"/>
      <c r="BL145" s="5"/>
      <c r="BM145" s="5"/>
      <c r="BO145" s="5"/>
      <c r="BP145" s="5"/>
      <c r="BQ145" s="5"/>
      <c r="BR145" s="5"/>
      <c r="BS145" s="5"/>
      <c r="BU145" s="4"/>
      <c r="BV145" s="4"/>
      <c r="BW145" s="4"/>
      <c r="BX145" s="4"/>
    </row>
    <row r="146" spans="4:76" ht="15.75" customHeight="1">
      <c r="D146" s="5"/>
      <c r="E146" s="5"/>
      <c r="F146" s="5"/>
      <c r="G146" s="5"/>
      <c r="H146" s="5"/>
      <c r="I146" s="5"/>
      <c r="K146" s="5"/>
      <c r="L146" s="5"/>
      <c r="M146" s="5"/>
      <c r="N146" s="5"/>
      <c r="O146" s="5"/>
      <c r="P146" s="5"/>
      <c r="R146" s="5"/>
      <c r="S146" s="5"/>
      <c r="T146" s="5"/>
      <c r="U146" s="5"/>
      <c r="V146" s="5"/>
      <c r="W146" s="5"/>
      <c r="Y146" s="5"/>
      <c r="Z146" s="5"/>
      <c r="AA146" s="5"/>
      <c r="AB146" s="5"/>
      <c r="AC146" s="5"/>
      <c r="AD146" s="5"/>
      <c r="AF146" s="5"/>
      <c r="AG146" s="5"/>
      <c r="AH146" s="5"/>
      <c r="AI146" s="5"/>
      <c r="AJ146" s="5"/>
      <c r="AK146" s="5"/>
      <c r="AM146" s="5"/>
      <c r="AN146" s="5"/>
      <c r="AO146" s="5"/>
      <c r="AP146" s="5"/>
      <c r="AQ146" s="5"/>
      <c r="AR146" s="5"/>
      <c r="AT146" s="5"/>
      <c r="AU146" s="5"/>
      <c r="AV146" s="5"/>
      <c r="AW146" s="5"/>
      <c r="AX146" s="5"/>
      <c r="AY146" s="5"/>
      <c r="BA146" s="5"/>
      <c r="BB146" s="5"/>
      <c r="BC146" s="5"/>
      <c r="BD146" s="5"/>
      <c r="BE146" s="5"/>
      <c r="BF146" s="5"/>
      <c r="BH146" s="5"/>
      <c r="BI146" s="5"/>
      <c r="BJ146" s="5"/>
      <c r="BK146" s="5"/>
      <c r="BL146" s="5"/>
      <c r="BM146" s="5"/>
      <c r="BO146" s="5"/>
      <c r="BP146" s="5"/>
      <c r="BQ146" s="5"/>
      <c r="BR146" s="5"/>
      <c r="BS146" s="5"/>
      <c r="BU146" s="4"/>
      <c r="BV146" s="4"/>
      <c r="BW146" s="4"/>
      <c r="BX146" s="4"/>
    </row>
    <row r="147" spans="4:76" ht="15.75" customHeight="1">
      <c r="D147" s="5"/>
      <c r="E147" s="5"/>
      <c r="F147" s="5"/>
      <c r="G147" s="5"/>
      <c r="H147" s="5"/>
      <c r="I147" s="5"/>
      <c r="K147" s="5"/>
      <c r="L147" s="5"/>
      <c r="M147" s="5"/>
      <c r="N147" s="5"/>
      <c r="O147" s="5"/>
      <c r="P147" s="5"/>
      <c r="R147" s="5"/>
      <c r="S147" s="5"/>
      <c r="T147" s="5"/>
      <c r="U147" s="5"/>
      <c r="V147" s="5"/>
      <c r="W147" s="5"/>
      <c r="Y147" s="5"/>
      <c r="Z147" s="5"/>
      <c r="AA147" s="5"/>
      <c r="AB147" s="5"/>
      <c r="AC147" s="5"/>
      <c r="AD147" s="5"/>
      <c r="AF147" s="5"/>
      <c r="AG147" s="5"/>
      <c r="AH147" s="5"/>
      <c r="AI147" s="5"/>
      <c r="AJ147" s="5"/>
      <c r="AK147" s="5"/>
      <c r="AM147" s="5"/>
      <c r="AN147" s="5"/>
      <c r="AO147" s="5"/>
      <c r="AP147" s="5"/>
      <c r="AQ147" s="5"/>
      <c r="AR147" s="5"/>
      <c r="AT147" s="5"/>
      <c r="AU147" s="5"/>
      <c r="AV147" s="5"/>
      <c r="AW147" s="5"/>
      <c r="AX147" s="5"/>
      <c r="AY147" s="5"/>
      <c r="BA147" s="5"/>
      <c r="BB147" s="5"/>
      <c r="BC147" s="5"/>
      <c r="BD147" s="5"/>
      <c r="BE147" s="5"/>
      <c r="BF147" s="5"/>
      <c r="BH147" s="5"/>
      <c r="BI147" s="5"/>
      <c r="BJ147" s="5"/>
      <c r="BK147" s="5"/>
      <c r="BL147" s="5"/>
      <c r="BM147" s="5"/>
      <c r="BO147" s="5"/>
      <c r="BP147" s="5"/>
      <c r="BQ147" s="5"/>
      <c r="BR147" s="5"/>
      <c r="BS147" s="5"/>
      <c r="BU147" s="4"/>
      <c r="BV147" s="4"/>
      <c r="BW147" s="4"/>
      <c r="BX147" s="4"/>
    </row>
    <row r="148" spans="4:76" ht="15.75" customHeight="1">
      <c r="D148" s="5"/>
      <c r="E148" s="5"/>
      <c r="F148" s="5"/>
      <c r="G148" s="5"/>
      <c r="H148" s="5"/>
      <c r="I148" s="5"/>
      <c r="K148" s="5"/>
      <c r="L148" s="5"/>
      <c r="M148" s="5"/>
      <c r="N148" s="5"/>
      <c r="O148" s="5"/>
      <c r="P148" s="5"/>
      <c r="R148" s="5"/>
      <c r="S148" s="5"/>
      <c r="T148" s="5"/>
      <c r="U148" s="5"/>
      <c r="V148" s="5"/>
      <c r="W148" s="5"/>
      <c r="Y148" s="5"/>
      <c r="Z148" s="5"/>
      <c r="AA148" s="5"/>
      <c r="AB148" s="5"/>
      <c r="AC148" s="5"/>
      <c r="AD148" s="5"/>
      <c r="AF148" s="5"/>
      <c r="AG148" s="5"/>
      <c r="AH148" s="5"/>
      <c r="AI148" s="5"/>
      <c r="AJ148" s="5"/>
      <c r="AK148" s="5"/>
      <c r="AM148" s="5"/>
      <c r="AN148" s="5"/>
      <c r="AO148" s="5"/>
      <c r="AP148" s="5"/>
      <c r="AQ148" s="5"/>
      <c r="AR148" s="5"/>
      <c r="AT148" s="5"/>
      <c r="AU148" s="5"/>
      <c r="AV148" s="5"/>
      <c r="AW148" s="5"/>
      <c r="AX148" s="5"/>
      <c r="AY148" s="5"/>
      <c r="BA148" s="5"/>
      <c r="BB148" s="5"/>
      <c r="BC148" s="5"/>
      <c r="BD148" s="5"/>
      <c r="BE148" s="5"/>
      <c r="BF148" s="5"/>
      <c r="BH148" s="5"/>
      <c r="BI148" s="5"/>
      <c r="BJ148" s="5"/>
      <c r="BK148" s="5"/>
      <c r="BL148" s="5"/>
      <c r="BM148" s="5"/>
      <c r="BO148" s="5"/>
      <c r="BP148" s="5"/>
      <c r="BQ148" s="5"/>
      <c r="BR148" s="5"/>
      <c r="BS148" s="5"/>
      <c r="BU148" s="4"/>
      <c r="BV148" s="4"/>
      <c r="BW148" s="4"/>
      <c r="BX148" s="4"/>
    </row>
    <row r="149" spans="4:76" ht="15.75" customHeight="1">
      <c r="D149" s="5"/>
      <c r="E149" s="5"/>
      <c r="F149" s="5"/>
      <c r="G149" s="5"/>
      <c r="H149" s="5"/>
      <c r="I149" s="5"/>
      <c r="K149" s="5"/>
      <c r="L149" s="5"/>
      <c r="M149" s="5"/>
      <c r="N149" s="5"/>
      <c r="O149" s="5"/>
      <c r="P149" s="5"/>
      <c r="R149" s="5"/>
      <c r="S149" s="5"/>
      <c r="T149" s="5"/>
      <c r="U149" s="5"/>
      <c r="V149" s="5"/>
      <c r="W149" s="5"/>
      <c r="Y149" s="5"/>
      <c r="Z149" s="5"/>
      <c r="AA149" s="5"/>
      <c r="AB149" s="5"/>
      <c r="AC149" s="5"/>
      <c r="AD149" s="5"/>
      <c r="AF149" s="5"/>
      <c r="AG149" s="5"/>
      <c r="AH149" s="5"/>
      <c r="AI149" s="5"/>
      <c r="AJ149" s="5"/>
      <c r="AK149" s="5"/>
      <c r="AM149" s="5"/>
      <c r="AN149" s="5"/>
      <c r="AO149" s="5"/>
      <c r="AP149" s="5"/>
      <c r="AQ149" s="5"/>
      <c r="AR149" s="5"/>
      <c r="AT149" s="5"/>
      <c r="AU149" s="5"/>
      <c r="AV149" s="5"/>
      <c r="AW149" s="5"/>
      <c r="AX149" s="5"/>
      <c r="AY149" s="5"/>
      <c r="BA149" s="5"/>
      <c r="BB149" s="5"/>
      <c r="BC149" s="5"/>
      <c r="BD149" s="5"/>
      <c r="BE149" s="5"/>
      <c r="BF149" s="5"/>
      <c r="BH149" s="5"/>
      <c r="BI149" s="5"/>
      <c r="BJ149" s="5"/>
      <c r="BK149" s="5"/>
      <c r="BL149" s="5"/>
      <c r="BM149" s="5"/>
      <c r="BO149" s="5"/>
      <c r="BP149" s="5"/>
      <c r="BQ149" s="5"/>
      <c r="BR149" s="5"/>
      <c r="BS149" s="5"/>
      <c r="BU149" s="4"/>
      <c r="BV149" s="4"/>
      <c r="BW149" s="4"/>
      <c r="BX149" s="4"/>
    </row>
    <row r="150" spans="4:76" ht="15.75" customHeight="1">
      <c r="D150" s="5"/>
      <c r="E150" s="5"/>
      <c r="F150" s="5"/>
      <c r="G150" s="5"/>
      <c r="H150" s="5"/>
      <c r="I150" s="5"/>
      <c r="K150" s="5"/>
      <c r="L150" s="5"/>
      <c r="M150" s="5"/>
      <c r="N150" s="5"/>
      <c r="O150" s="5"/>
      <c r="P150" s="5"/>
      <c r="R150" s="5"/>
      <c r="S150" s="5"/>
      <c r="T150" s="5"/>
      <c r="U150" s="5"/>
      <c r="V150" s="5"/>
      <c r="W150" s="5"/>
      <c r="Y150" s="5"/>
      <c r="Z150" s="5"/>
      <c r="AA150" s="5"/>
      <c r="AB150" s="5"/>
      <c r="AC150" s="5"/>
      <c r="AD150" s="5"/>
      <c r="AF150" s="5"/>
      <c r="AG150" s="5"/>
      <c r="AH150" s="5"/>
      <c r="AI150" s="5"/>
      <c r="AJ150" s="5"/>
      <c r="AK150" s="5"/>
      <c r="AM150" s="5"/>
      <c r="AN150" s="5"/>
      <c r="AO150" s="5"/>
      <c r="AP150" s="5"/>
      <c r="AQ150" s="5"/>
      <c r="AR150" s="5"/>
      <c r="AT150" s="5"/>
      <c r="AU150" s="5"/>
      <c r="AV150" s="5"/>
      <c r="AW150" s="5"/>
      <c r="AX150" s="5"/>
      <c r="AY150" s="5"/>
      <c r="BA150" s="5"/>
      <c r="BB150" s="5"/>
      <c r="BC150" s="5"/>
      <c r="BD150" s="5"/>
      <c r="BE150" s="5"/>
      <c r="BF150" s="5"/>
      <c r="BH150" s="5"/>
      <c r="BI150" s="5"/>
      <c r="BJ150" s="5"/>
      <c r="BK150" s="5"/>
      <c r="BL150" s="5"/>
      <c r="BM150" s="5"/>
      <c r="BO150" s="5"/>
      <c r="BP150" s="5"/>
      <c r="BQ150" s="5"/>
      <c r="BR150" s="5"/>
      <c r="BS150" s="5"/>
      <c r="BU150" s="4"/>
      <c r="BV150" s="4"/>
      <c r="BW150" s="4"/>
      <c r="BX150" s="4"/>
    </row>
    <row r="151" spans="4:76" ht="15.75" customHeight="1">
      <c r="D151" s="5"/>
      <c r="E151" s="5"/>
      <c r="F151" s="5"/>
      <c r="G151" s="5"/>
      <c r="H151" s="5"/>
      <c r="I151" s="5"/>
      <c r="K151" s="5"/>
      <c r="L151" s="5"/>
      <c r="M151" s="5"/>
      <c r="N151" s="5"/>
      <c r="O151" s="5"/>
      <c r="P151" s="5"/>
      <c r="R151" s="5"/>
      <c r="S151" s="5"/>
      <c r="T151" s="5"/>
      <c r="U151" s="5"/>
      <c r="V151" s="5"/>
      <c r="W151" s="5"/>
      <c r="Y151" s="5"/>
      <c r="Z151" s="5"/>
      <c r="AA151" s="5"/>
      <c r="AB151" s="5"/>
      <c r="AC151" s="5"/>
      <c r="AD151" s="5"/>
      <c r="AF151" s="5"/>
      <c r="AG151" s="5"/>
      <c r="AH151" s="5"/>
      <c r="AI151" s="5"/>
      <c r="AJ151" s="5"/>
      <c r="AK151" s="5"/>
      <c r="AM151" s="5"/>
      <c r="AN151" s="5"/>
      <c r="AO151" s="5"/>
      <c r="AP151" s="5"/>
      <c r="AQ151" s="5"/>
      <c r="AR151" s="5"/>
      <c r="AT151" s="5"/>
      <c r="AU151" s="5"/>
      <c r="AV151" s="5"/>
      <c r="AW151" s="5"/>
      <c r="AX151" s="5"/>
      <c r="AY151" s="5"/>
      <c r="BA151" s="5"/>
      <c r="BB151" s="5"/>
      <c r="BC151" s="5"/>
      <c r="BD151" s="5"/>
      <c r="BE151" s="5"/>
      <c r="BF151" s="5"/>
      <c r="BH151" s="5"/>
      <c r="BI151" s="5"/>
      <c r="BJ151" s="5"/>
      <c r="BK151" s="5"/>
      <c r="BL151" s="5"/>
      <c r="BM151" s="5"/>
      <c r="BO151" s="5"/>
      <c r="BP151" s="5"/>
      <c r="BQ151" s="5"/>
      <c r="BR151" s="5"/>
      <c r="BS151" s="5"/>
      <c r="BU151" s="4"/>
      <c r="BV151" s="4"/>
      <c r="BW151" s="4"/>
      <c r="BX151" s="4"/>
    </row>
    <row r="152" spans="4:76" ht="15.75" customHeight="1">
      <c r="D152" s="5"/>
      <c r="E152" s="5"/>
      <c r="F152" s="5"/>
      <c r="G152" s="5"/>
      <c r="H152" s="5"/>
      <c r="I152" s="5"/>
      <c r="K152" s="5"/>
      <c r="L152" s="5"/>
      <c r="M152" s="5"/>
      <c r="N152" s="5"/>
      <c r="O152" s="5"/>
      <c r="P152" s="5"/>
      <c r="R152" s="5"/>
      <c r="S152" s="5"/>
      <c r="T152" s="5"/>
      <c r="U152" s="5"/>
      <c r="V152" s="5"/>
      <c r="W152" s="5"/>
      <c r="Y152" s="5"/>
      <c r="Z152" s="5"/>
      <c r="AA152" s="5"/>
      <c r="AB152" s="5"/>
      <c r="AC152" s="5"/>
      <c r="AD152" s="5"/>
      <c r="AF152" s="5"/>
      <c r="AG152" s="5"/>
      <c r="AH152" s="5"/>
      <c r="AI152" s="5"/>
      <c r="AJ152" s="5"/>
      <c r="AK152" s="5"/>
      <c r="AM152" s="5"/>
      <c r="AN152" s="5"/>
      <c r="AO152" s="5"/>
      <c r="AP152" s="5"/>
      <c r="AQ152" s="5"/>
      <c r="AR152" s="5"/>
      <c r="AT152" s="5"/>
      <c r="AU152" s="5"/>
      <c r="AV152" s="5"/>
      <c r="AW152" s="5"/>
      <c r="AX152" s="5"/>
      <c r="AY152" s="5"/>
      <c r="BA152" s="5"/>
      <c r="BB152" s="5"/>
      <c r="BC152" s="5"/>
      <c r="BD152" s="5"/>
      <c r="BE152" s="5"/>
      <c r="BF152" s="5"/>
      <c r="BH152" s="5"/>
      <c r="BI152" s="5"/>
      <c r="BJ152" s="5"/>
      <c r="BK152" s="5"/>
      <c r="BL152" s="5"/>
      <c r="BM152" s="5"/>
      <c r="BO152" s="5"/>
      <c r="BP152" s="5"/>
      <c r="BQ152" s="5"/>
      <c r="BR152" s="5"/>
      <c r="BS152" s="5"/>
      <c r="BU152" s="4"/>
      <c r="BV152" s="4"/>
      <c r="BW152" s="4"/>
      <c r="BX152" s="4"/>
    </row>
    <row r="153" spans="4:76" ht="15.75" customHeight="1">
      <c r="D153" s="5"/>
      <c r="E153" s="5"/>
      <c r="F153" s="5"/>
      <c r="G153" s="5"/>
      <c r="H153" s="5"/>
      <c r="I153" s="5"/>
      <c r="K153" s="5"/>
      <c r="L153" s="5"/>
      <c r="M153" s="5"/>
      <c r="N153" s="5"/>
      <c r="O153" s="5"/>
      <c r="P153" s="5"/>
      <c r="R153" s="5"/>
      <c r="S153" s="5"/>
      <c r="T153" s="5"/>
      <c r="U153" s="5"/>
      <c r="V153" s="5"/>
      <c r="W153" s="5"/>
      <c r="Y153" s="5"/>
      <c r="Z153" s="5"/>
      <c r="AA153" s="5"/>
      <c r="AB153" s="5"/>
      <c r="AC153" s="5"/>
      <c r="AD153" s="5"/>
      <c r="AF153" s="5"/>
      <c r="AG153" s="5"/>
      <c r="AH153" s="5"/>
      <c r="AI153" s="5"/>
      <c r="AJ153" s="5"/>
      <c r="AK153" s="5"/>
      <c r="AM153" s="5"/>
      <c r="AN153" s="5"/>
      <c r="AO153" s="5"/>
      <c r="AP153" s="5"/>
      <c r="AQ153" s="5"/>
      <c r="AR153" s="5"/>
      <c r="AT153" s="5"/>
      <c r="AU153" s="5"/>
      <c r="AV153" s="5"/>
      <c r="AW153" s="5"/>
      <c r="AX153" s="5"/>
      <c r="AY153" s="5"/>
      <c r="BA153" s="5"/>
      <c r="BB153" s="5"/>
      <c r="BC153" s="5"/>
      <c r="BD153" s="5"/>
      <c r="BE153" s="5"/>
      <c r="BF153" s="5"/>
      <c r="BH153" s="5"/>
      <c r="BI153" s="5"/>
      <c r="BJ153" s="5"/>
      <c r="BK153" s="5"/>
      <c r="BL153" s="5"/>
      <c r="BM153" s="5"/>
      <c r="BO153" s="5"/>
      <c r="BP153" s="5"/>
      <c r="BQ153" s="5"/>
      <c r="BR153" s="5"/>
      <c r="BS153" s="5"/>
      <c r="BU153" s="4"/>
      <c r="BV153" s="4"/>
      <c r="BW153" s="4"/>
      <c r="BX153" s="4"/>
    </row>
    <row r="154" spans="4:76" ht="15.75" customHeight="1">
      <c r="D154" s="5"/>
      <c r="E154" s="5"/>
      <c r="F154" s="5"/>
      <c r="G154" s="5"/>
      <c r="H154" s="5"/>
      <c r="I154" s="5"/>
      <c r="K154" s="5"/>
      <c r="L154" s="5"/>
      <c r="M154" s="5"/>
      <c r="N154" s="5"/>
      <c r="O154" s="5"/>
      <c r="P154" s="5"/>
      <c r="R154" s="5"/>
      <c r="S154" s="5"/>
      <c r="T154" s="5"/>
      <c r="U154" s="5"/>
      <c r="V154" s="5"/>
      <c r="W154" s="5"/>
      <c r="Y154" s="5"/>
      <c r="Z154" s="5"/>
      <c r="AA154" s="5"/>
      <c r="AB154" s="5"/>
      <c r="AC154" s="5"/>
      <c r="AD154" s="5"/>
      <c r="AF154" s="5"/>
      <c r="AG154" s="5"/>
      <c r="AH154" s="5"/>
      <c r="AI154" s="5"/>
      <c r="AJ154" s="5"/>
      <c r="AK154" s="5"/>
      <c r="AM154" s="5"/>
      <c r="AN154" s="5"/>
      <c r="AO154" s="5"/>
      <c r="AP154" s="5"/>
      <c r="AQ154" s="5"/>
      <c r="AR154" s="5"/>
      <c r="AT154" s="5"/>
      <c r="AU154" s="5"/>
      <c r="AV154" s="5"/>
      <c r="AW154" s="5"/>
      <c r="AX154" s="5"/>
      <c r="AY154" s="5"/>
      <c r="BA154" s="5"/>
      <c r="BB154" s="5"/>
      <c r="BC154" s="5"/>
      <c r="BD154" s="5"/>
      <c r="BE154" s="5"/>
      <c r="BF154" s="5"/>
      <c r="BH154" s="5"/>
      <c r="BI154" s="5"/>
      <c r="BJ154" s="5"/>
      <c r="BK154" s="5"/>
      <c r="BL154" s="5"/>
      <c r="BM154" s="5"/>
      <c r="BO154" s="5"/>
      <c r="BP154" s="5"/>
      <c r="BQ154" s="5"/>
      <c r="BR154" s="5"/>
      <c r="BS154" s="5"/>
      <c r="BU154" s="4"/>
      <c r="BV154" s="4"/>
      <c r="BW154" s="4"/>
      <c r="BX154" s="4"/>
    </row>
    <row r="155" spans="4:76" ht="15.75" customHeight="1">
      <c r="D155" s="5"/>
      <c r="E155" s="5"/>
      <c r="F155" s="5"/>
      <c r="G155" s="5"/>
      <c r="H155" s="5"/>
      <c r="I155" s="5"/>
      <c r="K155" s="5"/>
      <c r="L155" s="5"/>
      <c r="M155" s="5"/>
      <c r="N155" s="5"/>
      <c r="O155" s="5"/>
      <c r="P155" s="5"/>
      <c r="R155" s="5"/>
      <c r="S155" s="5"/>
      <c r="T155" s="5"/>
      <c r="U155" s="5"/>
      <c r="V155" s="5"/>
      <c r="W155" s="5"/>
      <c r="Y155" s="5"/>
      <c r="Z155" s="5"/>
      <c r="AA155" s="5"/>
      <c r="AB155" s="5"/>
      <c r="AC155" s="5"/>
      <c r="AD155" s="5"/>
      <c r="AF155" s="5"/>
      <c r="AG155" s="5"/>
      <c r="AH155" s="5"/>
      <c r="AI155" s="5"/>
      <c r="AJ155" s="5"/>
      <c r="AK155" s="5"/>
      <c r="AM155" s="5"/>
      <c r="AN155" s="5"/>
      <c r="AO155" s="5"/>
      <c r="AP155" s="5"/>
      <c r="AQ155" s="5"/>
      <c r="AR155" s="5"/>
      <c r="AT155" s="5"/>
      <c r="AU155" s="5"/>
      <c r="AV155" s="5"/>
      <c r="AW155" s="5"/>
      <c r="AX155" s="5"/>
      <c r="AY155" s="5"/>
      <c r="BA155" s="5"/>
      <c r="BB155" s="5"/>
      <c r="BC155" s="5"/>
      <c r="BD155" s="5"/>
      <c r="BE155" s="5"/>
      <c r="BF155" s="5"/>
      <c r="BH155" s="5"/>
      <c r="BI155" s="5"/>
      <c r="BJ155" s="5"/>
      <c r="BK155" s="5"/>
      <c r="BL155" s="5"/>
      <c r="BM155" s="5"/>
      <c r="BO155" s="5"/>
      <c r="BP155" s="5"/>
      <c r="BQ155" s="5"/>
      <c r="BR155" s="5"/>
      <c r="BS155" s="5"/>
      <c r="BU155" s="4"/>
      <c r="BV155" s="4"/>
      <c r="BW155" s="4"/>
      <c r="BX155" s="4"/>
    </row>
    <row r="156" spans="4:76" ht="15.75" customHeight="1">
      <c r="D156" s="5"/>
      <c r="E156" s="5"/>
      <c r="F156" s="5"/>
      <c r="G156" s="5"/>
      <c r="H156" s="5"/>
      <c r="I156" s="5"/>
      <c r="K156" s="5"/>
      <c r="L156" s="5"/>
      <c r="M156" s="5"/>
      <c r="N156" s="5"/>
      <c r="O156" s="5"/>
      <c r="P156" s="5"/>
      <c r="R156" s="5"/>
      <c r="S156" s="5"/>
      <c r="T156" s="5"/>
      <c r="U156" s="5"/>
      <c r="V156" s="5"/>
      <c r="W156" s="5"/>
      <c r="Y156" s="5"/>
      <c r="Z156" s="5"/>
      <c r="AA156" s="5"/>
      <c r="AB156" s="5"/>
      <c r="AC156" s="5"/>
      <c r="AD156" s="5"/>
      <c r="AF156" s="5"/>
      <c r="AG156" s="5"/>
      <c r="AH156" s="5"/>
      <c r="AI156" s="5"/>
      <c r="AJ156" s="5"/>
      <c r="AK156" s="5"/>
      <c r="AM156" s="5"/>
      <c r="AN156" s="5"/>
      <c r="AO156" s="5"/>
      <c r="AP156" s="5"/>
      <c r="AQ156" s="5"/>
      <c r="AR156" s="5"/>
      <c r="AT156" s="5"/>
      <c r="AU156" s="5"/>
      <c r="AV156" s="5"/>
      <c r="AW156" s="5"/>
      <c r="AX156" s="5"/>
      <c r="AY156" s="5"/>
      <c r="BA156" s="5"/>
      <c r="BB156" s="5"/>
      <c r="BC156" s="5"/>
      <c r="BD156" s="5"/>
      <c r="BE156" s="5"/>
      <c r="BF156" s="5"/>
      <c r="BH156" s="5"/>
      <c r="BI156" s="5"/>
      <c r="BJ156" s="5"/>
      <c r="BK156" s="5"/>
      <c r="BL156" s="5"/>
      <c r="BM156" s="5"/>
      <c r="BO156" s="5"/>
      <c r="BP156" s="5"/>
      <c r="BQ156" s="5"/>
      <c r="BR156" s="5"/>
      <c r="BS156" s="5"/>
      <c r="BU156" s="4"/>
      <c r="BV156" s="4"/>
      <c r="BW156" s="4"/>
      <c r="BX156" s="4"/>
    </row>
    <row r="157" spans="4:76" ht="15.75" customHeight="1">
      <c r="D157" s="5"/>
      <c r="E157" s="5"/>
      <c r="F157" s="5"/>
      <c r="G157" s="5"/>
      <c r="H157" s="5"/>
      <c r="I157" s="5"/>
      <c r="K157" s="5"/>
      <c r="L157" s="5"/>
      <c r="M157" s="5"/>
      <c r="N157" s="5"/>
      <c r="O157" s="5"/>
      <c r="P157" s="5"/>
      <c r="R157" s="5"/>
      <c r="S157" s="5"/>
      <c r="T157" s="5"/>
      <c r="U157" s="5"/>
      <c r="V157" s="5"/>
      <c r="W157" s="5"/>
      <c r="Y157" s="5"/>
      <c r="Z157" s="5"/>
      <c r="AA157" s="5"/>
      <c r="AB157" s="5"/>
      <c r="AC157" s="5"/>
      <c r="AD157" s="5"/>
      <c r="AF157" s="5"/>
      <c r="AG157" s="5"/>
      <c r="AH157" s="5"/>
      <c r="AI157" s="5"/>
      <c r="AJ157" s="5"/>
      <c r="AK157" s="5"/>
      <c r="AM157" s="5"/>
      <c r="AN157" s="5"/>
      <c r="AO157" s="5"/>
      <c r="AP157" s="5"/>
      <c r="AQ157" s="5"/>
      <c r="AR157" s="5"/>
      <c r="AT157" s="5"/>
      <c r="AU157" s="5"/>
      <c r="AV157" s="5"/>
      <c r="AW157" s="5"/>
      <c r="AX157" s="5"/>
      <c r="AY157" s="5"/>
      <c r="BA157" s="5"/>
      <c r="BB157" s="5"/>
      <c r="BC157" s="5"/>
      <c r="BD157" s="5"/>
      <c r="BE157" s="5"/>
      <c r="BF157" s="5"/>
      <c r="BH157" s="5"/>
      <c r="BI157" s="5"/>
      <c r="BJ157" s="5"/>
      <c r="BK157" s="5"/>
      <c r="BL157" s="5"/>
      <c r="BM157" s="5"/>
      <c r="BO157" s="5"/>
      <c r="BP157" s="5"/>
      <c r="BQ157" s="5"/>
      <c r="BR157" s="5"/>
      <c r="BS157" s="5"/>
      <c r="BU157" s="4"/>
      <c r="BV157" s="4"/>
      <c r="BW157" s="4"/>
      <c r="BX157" s="4"/>
    </row>
    <row r="158" spans="4:76" ht="15.75" customHeight="1">
      <c r="D158" s="5"/>
      <c r="E158" s="5"/>
      <c r="F158" s="5"/>
      <c r="G158" s="5"/>
      <c r="H158" s="5"/>
      <c r="I158" s="5"/>
      <c r="K158" s="5"/>
      <c r="L158" s="5"/>
      <c r="M158" s="5"/>
      <c r="N158" s="5"/>
      <c r="O158" s="5"/>
      <c r="P158" s="5"/>
      <c r="R158" s="5"/>
      <c r="S158" s="5"/>
      <c r="T158" s="5"/>
      <c r="U158" s="5"/>
      <c r="V158" s="5"/>
      <c r="W158" s="5"/>
      <c r="Y158" s="5"/>
      <c r="Z158" s="5"/>
      <c r="AA158" s="5"/>
      <c r="AB158" s="5"/>
      <c r="AC158" s="5"/>
      <c r="AD158" s="5"/>
      <c r="AF158" s="5"/>
      <c r="AG158" s="5"/>
      <c r="AH158" s="5"/>
      <c r="AI158" s="5"/>
      <c r="AJ158" s="5"/>
      <c r="AK158" s="5"/>
      <c r="AM158" s="5"/>
      <c r="AN158" s="5"/>
      <c r="AO158" s="5"/>
      <c r="AP158" s="5"/>
      <c r="AQ158" s="5"/>
      <c r="AR158" s="5"/>
      <c r="AT158" s="5"/>
      <c r="AU158" s="5"/>
      <c r="AV158" s="5"/>
      <c r="AW158" s="5"/>
      <c r="AX158" s="5"/>
      <c r="AY158" s="5"/>
      <c r="BA158" s="5"/>
      <c r="BB158" s="5"/>
      <c r="BC158" s="5"/>
      <c r="BD158" s="5"/>
      <c r="BE158" s="5"/>
      <c r="BF158" s="5"/>
      <c r="BH158" s="5"/>
      <c r="BI158" s="5"/>
      <c r="BJ158" s="5"/>
      <c r="BK158" s="5"/>
      <c r="BL158" s="5"/>
      <c r="BM158" s="5"/>
      <c r="BO158" s="5"/>
      <c r="BP158" s="5"/>
      <c r="BQ158" s="5"/>
      <c r="BR158" s="5"/>
      <c r="BS158" s="5"/>
      <c r="BU158" s="4"/>
      <c r="BV158" s="4"/>
      <c r="BW158" s="4"/>
      <c r="BX158" s="4"/>
    </row>
    <row r="159" spans="4:76" ht="15.75" customHeight="1">
      <c r="D159" s="5"/>
      <c r="E159" s="5"/>
      <c r="F159" s="5"/>
      <c r="G159" s="5"/>
      <c r="H159" s="5"/>
      <c r="I159" s="5"/>
      <c r="K159" s="5"/>
      <c r="L159" s="5"/>
      <c r="M159" s="5"/>
      <c r="N159" s="5"/>
      <c r="O159" s="5"/>
      <c r="P159" s="5"/>
      <c r="R159" s="5"/>
      <c r="S159" s="5"/>
      <c r="T159" s="5"/>
      <c r="U159" s="5"/>
      <c r="V159" s="5"/>
      <c r="W159" s="5"/>
      <c r="Y159" s="5"/>
      <c r="Z159" s="5"/>
      <c r="AA159" s="5"/>
      <c r="AB159" s="5"/>
      <c r="AC159" s="5"/>
      <c r="AD159" s="5"/>
      <c r="AF159" s="5"/>
      <c r="AG159" s="5"/>
      <c r="AH159" s="5"/>
      <c r="AI159" s="5"/>
      <c r="AJ159" s="5"/>
      <c r="AK159" s="5"/>
      <c r="AM159" s="5"/>
      <c r="AN159" s="5"/>
      <c r="AO159" s="5"/>
      <c r="AP159" s="5"/>
      <c r="AQ159" s="5"/>
      <c r="AR159" s="5"/>
      <c r="AT159" s="5"/>
      <c r="AU159" s="5"/>
      <c r="AV159" s="5"/>
      <c r="AW159" s="5"/>
      <c r="AX159" s="5"/>
      <c r="AY159" s="5"/>
      <c r="BA159" s="5"/>
      <c r="BB159" s="5"/>
      <c r="BC159" s="5"/>
      <c r="BD159" s="5"/>
      <c r="BE159" s="5"/>
      <c r="BF159" s="5"/>
      <c r="BH159" s="5"/>
      <c r="BI159" s="5"/>
      <c r="BJ159" s="5"/>
      <c r="BK159" s="5"/>
      <c r="BL159" s="5"/>
      <c r="BM159" s="5"/>
      <c r="BO159" s="5"/>
      <c r="BP159" s="5"/>
      <c r="BQ159" s="5"/>
      <c r="BR159" s="5"/>
      <c r="BS159" s="5"/>
      <c r="BU159" s="4"/>
      <c r="BV159" s="4"/>
      <c r="BW159" s="4"/>
      <c r="BX159" s="4"/>
    </row>
    <row r="160" spans="4:76" ht="15.75" customHeight="1">
      <c r="D160" s="5"/>
      <c r="E160" s="5"/>
      <c r="F160" s="5"/>
      <c r="G160" s="5"/>
      <c r="H160" s="5"/>
      <c r="I160" s="5"/>
      <c r="K160" s="5"/>
      <c r="L160" s="5"/>
      <c r="M160" s="5"/>
      <c r="N160" s="5"/>
      <c r="O160" s="5"/>
      <c r="P160" s="5"/>
      <c r="R160" s="5"/>
      <c r="S160" s="5"/>
      <c r="T160" s="5"/>
      <c r="U160" s="5"/>
      <c r="V160" s="5"/>
      <c r="W160" s="5"/>
      <c r="Y160" s="5"/>
      <c r="Z160" s="5"/>
      <c r="AA160" s="5"/>
      <c r="AB160" s="5"/>
      <c r="AC160" s="5"/>
      <c r="AD160" s="5"/>
      <c r="AF160" s="5"/>
      <c r="AG160" s="5"/>
      <c r="AH160" s="5"/>
      <c r="AI160" s="5"/>
      <c r="AJ160" s="5"/>
      <c r="AK160" s="5"/>
      <c r="AM160" s="5"/>
      <c r="AN160" s="5"/>
      <c r="AO160" s="5"/>
      <c r="AP160" s="5"/>
      <c r="AQ160" s="5"/>
      <c r="AR160" s="5"/>
      <c r="AT160" s="5"/>
      <c r="AU160" s="5"/>
      <c r="AV160" s="5"/>
      <c r="AW160" s="5"/>
      <c r="AX160" s="5"/>
      <c r="AY160" s="5"/>
      <c r="BA160" s="5"/>
      <c r="BB160" s="5"/>
      <c r="BC160" s="5"/>
      <c r="BD160" s="5"/>
      <c r="BE160" s="5"/>
      <c r="BF160" s="5"/>
      <c r="BH160" s="5"/>
      <c r="BI160" s="5"/>
      <c r="BJ160" s="5"/>
      <c r="BK160" s="5"/>
      <c r="BL160" s="5"/>
      <c r="BM160" s="5"/>
      <c r="BO160" s="5"/>
      <c r="BP160" s="5"/>
      <c r="BQ160" s="5"/>
      <c r="BR160" s="5"/>
      <c r="BS160" s="5"/>
      <c r="BU160" s="4"/>
      <c r="BV160" s="4"/>
      <c r="BW160" s="4"/>
      <c r="BX160" s="4"/>
    </row>
    <row r="161" spans="4:76" ht="15.75" customHeight="1">
      <c r="D161" s="5"/>
      <c r="E161" s="5"/>
      <c r="F161" s="5"/>
      <c r="G161" s="5"/>
      <c r="H161" s="5"/>
      <c r="I161" s="5"/>
      <c r="K161" s="5"/>
      <c r="L161" s="5"/>
      <c r="M161" s="5"/>
      <c r="N161" s="5"/>
      <c r="O161" s="5"/>
      <c r="P161" s="5"/>
      <c r="R161" s="5"/>
      <c r="S161" s="5"/>
      <c r="T161" s="5"/>
      <c r="U161" s="5"/>
      <c r="V161" s="5"/>
      <c r="W161" s="5"/>
      <c r="Y161" s="5"/>
      <c r="Z161" s="5"/>
      <c r="AA161" s="5"/>
      <c r="AB161" s="5"/>
      <c r="AC161" s="5"/>
      <c r="AD161" s="5"/>
      <c r="AF161" s="5"/>
      <c r="AG161" s="5"/>
      <c r="AH161" s="5"/>
      <c r="AI161" s="5"/>
      <c r="AJ161" s="5"/>
      <c r="AK161" s="5"/>
      <c r="AM161" s="5"/>
      <c r="AN161" s="5"/>
      <c r="AO161" s="5"/>
      <c r="AP161" s="5"/>
      <c r="AQ161" s="5"/>
      <c r="AR161" s="5"/>
      <c r="AT161" s="5"/>
      <c r="AU161" s="5"/>
      <c r="AV161" s="5"/>
      <c r="AW161" s="5"/>
      <c r="AX161" s="5"/>
      <c r="AY161" s="5"/>
      <c r="BA161" s="5"/>
      <c r="BB161" s="5"/>
      <c r="BC161" s="5"/>
      <c r="BD161" s="5"/>
      <c r="BE161" s="5"/>
      <c r="BF161" s="5"/>
      <c r="BH161" s="5"/>
      <c r="BI161" s="5"/>
      <c r="BJ161" s="5"/>
      <c r="BK161" s="5"/>
      <c r="BL161" s="5"/>
      <c r="BM161" s="5"/>
      <c r="BO161" s="5"/>
      <c r="BP161" s="5"/>
      <c r="BQ161" s="5"/>
      <c r="BR161" s="5"/>
      <c r="BS161" s="5"/>
      <c r="BU161" s="4"/>
      <c r="BV161" s="4"/>
      <c r="BW161" s="4"/>
      <c r="BX161" s="4"/>
    </row>
    <row r="162" spans="4:76" ht="15.75" customHeight="1">
      <c r="D162" s="5"/>
      <c r="E162" s="5"/>
      <c r="F162" s="5"/>
      <c r="G162" s="5"/>
      <c r="H162" s="5"/>
      <c r="I162" s="5"/>
      <c r="K162" s="5"/>
      <c r="L162" s="5"/>
      <c r="M162" s="5"/>
      <c r="N162" s="5"/>
      <c r="O162" s="5"/>
      <c r="P162" s="5"/>
      <c r="R162" s="5"/>
      <c r="S162" s="5"/>
      <c r="T162" s="5"/>
      <c r="U162" s="5"/>
      <c r="V162" s="5"/>
      <c r="W162" s="5"/>
      <c r="Y162" s="5"/>
      <c r="Z162" s="5"/>
      <c r="AA162" s="5"/>
      <c r="AB162" s="5"/>
      <c r="AC162" s="5"/>
      <c r="AD162" s="5"/>
      <c r="AF162" s="5"/>
      <c r="AG162" s="5"/>
      <c r="AH162" s="5"/>
      <c r="AI162" s="5"/>
      <c r="AJ162" s="5"/>
      <c r="AK162" s="5"/>
      <c r="AM162" s="5"/>
      <c r="AN162" s="5"/>
      <c r="AO162" s="5"/>
      <c r="AP162" s="5"/>
      <c r="AQ162" s="5"/>
      <c r="AR162" s="5"/>
      <c r="AT162" s="5"/>
      <c r="AU162" s="5"/>
      <c r="AV162" s="5"/>
      <c r="AW162" s="5"/>
      <c r="AX162" s="5"/>
      <c r="AY162" s="5"/>
      <c r="BA162" s="5"/>
      <c r="BB162" s="5"/>
      <c r="BC162" s="5"/>
      <c r="BD162" s="5"/>
      <c r="BE162" s="5"/>
      <c r="BF162" s="5"/>
      <c r="BH162" s="5"/>
      <c r="BI162" s="5"/>
      <c r="BJ162" s="5"/>
      <c r="BK162" s="5"/>
      <c r="BL162" s="5"/>
      <c r="BM162" s="5"/>
      <c r="BO162" s="5"/>
      <c r="BP162" s="5"/>
      <c r="BQ162" s="5"/>
      <c r="BR162" s="5"/>
      <c r="BS162" s="5"/>
      <c r="BU162" s="4"/>
      <c r="BV162" s="4"/>
      <c r="BW162" s="4"/>
      <c r="BX162" s="4"/>
    </row>
    <row r="163" spans="4:76" ht="15.75" customHeight="1">
      <c r="D163" s="5"/>
      <c r="E163" s="5"/>
      <c r="F163" s="5"/>
      <c r="G163" s="5"/>
      <c r="H163" s="5"/>
      <c r="I163" s="5"/>
      <c r="K163" s="5"/>
      <c r="L163" s="5"/>
      <c r="M163" s="5"/>
      <c r="N163" s="5"/>
      <c r="O163" s="5"/>
      <c r="P163" s="5"/>
      <c r="R163" s="5"/>
      <c r="S163" s="5"/>
      <c r="T163" s="5"/>
      <c r="U163" s="5"/>
      <c r="V163" s="5"/>
      <c r="W163" s="5"/>
      <c r="Y163" s="5"/>
      <c r="Z163" s="5"/>
      <c r="AA163" s="5"/>
      <c r="AB163" s="5"/>
      <c r="AC163" s="5"/>
      <c r="AD163" s="5"/>
      <c r="AF163" s="5"/>
      <c r="AG163" s="5"/>
      <c r="AH163" s="5"/>
      <c r="AI163" s="5"/>
      <c r="AJ163" s="5"/>
      <c r="AK163" s="5"/>
      <c r="AM163" s="5"/>
      <c r="AN163" s="5"/>
      <c r="AO163" s="5"/>
      <c r="AP163" s="5"/>
      <c r="AQ163" s="5"/>
      <c r="AR163" s="5"/>
      <c r="AT163" s="5"/>
      <c r="AU163" s="5"/>
      <c r="AV163" s="5"/>
      <c r="AW163" s="5"/>
      <c r="AX163" s="5"/>
      <c r="AY163" s="5"/>
      <c r="BA163" s="5"/>
      <c r="BB163" s="5"/>
      <c r="BC163" s="5"/>
      <c r="BD163" s="5"/>
      <c r="BE163" s="5"/>
      <c r="BF163" s="5"/>
      <c r="BH163" s="5"/>
      <c r="BI163" s="5"/>
      <c r="BJ163" s="5"/>
      <c r="BK163" s="5"/>
      <c r="BL163" s="5"/>
      <c r="BM163" s="5"/>
      <c r="BO163" s="5"/>
      <c r="BP163" s="5"/>
      <c r="BQ163" s="5"/>
      <c r="BR163" s="5"/>
      <c r="BS163" s="5"/>
      <c r="BU163" s="4"/>
      <c r="BV163" s="4"/>
      <c r="BW163" s="4"/>
      <c r="BX163" s="4"/>
    </row>
    <row r="164" spans="4:76" ht="15.75" customHeight="1">
      <c r="D164" s="5"/>
      <c r="E164" s="5"/>
      <c r="F164" s="5"/>
      <c r="G164" s="5"/>
      <c r="H164" s="5"/>
      <c r="I164" s="5"/>
      <c r="K164" s="5"/>
      <c r="L164" s="5"/>
      <c r="M164" s="5"/>
      <c r="N164" s="5"/>
      <c r="O164" s="5"/>
      <c r="P164" s="5"/>
      <c r="R164" s="5"/>
      <c r="S164" s="5"/>
      <c r="T164" s="5"/>
      <c r="U164" s="5"/>
      <c r="V164" s="5"/>
      <c r="W164" s="5"/>
      <c r="Y164" s="5"/>
      <c r="Z164" s="5"/>
      <c r="AA164" s="5"/>
      <c r="AB164" s="5"/>
      <c r="AC164" s="5"/>
      <c r="AD164" s="5"/>
      <c r="AF164" s="5"/>
      <c r="AG164" s="5"/>
      <c r="AH164" s="5"/>
      <c r="AI164" s="5"/>
      <c r="AJ164" s="5"/>
      <c r="AK164" s="5"/>
      <c r="AM164" s="5"/>
      <c r="AN164" s="5"/>
      <c r="AO164" s="5"/>
      <c r="AP164" s="5"/>
      <c r="AQ164" s="5"/>
      <c r="AR164" s="5"/>
      <c r="AT164" s="5"/>
      <c r="AU164" s="5"/>
      <c r="AV164" s="5"/>
      <c r="AW164" s="5"/>
      <c r="AX164" s="5"/>
      <c r="AY164" s="5"/>
      <c r="BA164" s="5"/>
      <c r="BB164" s="5"/>
      <c r="BC164" s="5"/>
      <c r="BD164" s="5"/>
      <c r="BE164" s="5"/>
      <c r="BF164" s="5"/>
      <c r="BH164" s="5"/>
      <c r="BI164" s="5"/>
      <c r="BJ164" s="5"/>
      <c r="BK164" s="5"/>
      <c r="BL164" s="5"/>
      <c r="BM164" s="5"/>
      <c r="BO164" s="5"/>
      <c r="BP164" s="5"/>
      <c r="BQ164" s="5"/>
      <c r="BR164" s="5"/>
      <c r="BS164" s="5"/>
      <c r="BU164" s="4"/>
      <c r="BV164" s="4"/>
      <c r="BW164" s="4"/>
      <c r="BX164" s="4"/>
    </row>
    <row r="165" spans="4:76" ht="15.75" customHeight="1">
      <c r="D165" s="5"/>
      <c r="E165" s="5"/>
      <c r="F165" s="5"/>
      <c r="G165" s="5"/>
      <c r="H165" s="5"/>
      <c r="I165" s="5"/>
      <c r="K165" s="5"/>
      <c r="L165" s="5"/>
      <c r="M165" s="5"/>
      <c r="N165" s="5"/>
      <c r="O165" s="5"/>
      <c r="P165" s="5"/>
      <c r="R165" s="5"/>
      <c r="S165" s="5"/>
      <c r="T165" s="5"/>
      <c r="U165" s="5"/>
      <c r="V165" s="5"/>
      <c r="W165" s="5"/>
      <c r="Y165" s="5"/>
      <c r="Z165" s="5"/>
      <c r="AA165" s="5"/>
      <c r="AB165" s="5"/>
      <c r="AC165" s="5"/>
      <c r="AD165" s="5"/>
      <c r="AF165" s="5"/>
      <c r="AG165" s="5"/>
      <c r="AH165" s="5"/>
      <c r="AI165" s="5"/>
      <c r="AJ165" s="5"/>
      <c r="AK165" s="5"/>
      <c r="AM165" s="5"/>
      <c r="AN165" s="5"/>
      <c r="AO165" s="5"/>
      <c r="AP165" s="5"/>
      <c r="AQ165" s="5"/>
      <c r="AR165" s="5"/>
      <c r="AT165" s="5"/>
      <c r="AU165" s="5"/>
      <c r="AV165" s="5"/>
      <c r="AW165" s="5"/>
      <c r="AX165" s="5"/>
      <c r="AY165" s="5"/>
      <c r="BA165" s="5"/>
      <c r="BB165" s="5"/>
      <c r="BC165" s="5"/>
      <c r="BD165" s="5"/>
      <c r="BE165" s="5"/>
      <c r="BF165" s="5"/>
      <c r="BH165" s="5"/>
      <c r="BI165" s="5"/>
      <c r="BJ165" s="5"/>
      <c r="BK165" s="5"/>
      <c r="BL165" s="5"/>
      <c r="BM165" s="5"/>
      <c r="BO165" s="5"/>
      <c r="BP165" s="5"/>
      <c r="BQ165" s="5"/>
      <c r="BR165" s="5"/>
      <c r="BS165" s="5"/>
      <c r="BU165" s="4"/>
      <c r="BV165" s="4"/>
      <c r="BW165" s="4"/>
      <c r="BX165" s="4"/>
    </row>
    <row r="166" spans="4:76" ht="15.75" customHeight="1">
      <c r="D166" s="5"/>
      <c r="E166" s="5"/>
      <c r="F166" s="5"/>
      <c r="G166" s="5"/>
      <c r="H166" s="5"/>
      <c r="I166" s="5"/>
      <c r="K166" s="5"/>
      <c r="L166" s="5"/>
      <c r="M166" s="5"/>
      <c r="N166" s="5"/>
      <c r="O166" s="5"/>
      <c r="P166" s="5"/>
      <c r="R166" s="5"/>
      <c r="S166" s="5"/>
      <c r="T166" s="5"/>
      <c r="U166" s="5"/>
      <c r="V166" s="5"/>
      <c r="W166" s="5"/>
      <c r="Y166" s="5"/>
      <c r="Z166" s="5"/>
      <c r="AA166" s="5"/>
      <c r="AB166" s="5"/>
      <c r="AC166" s="5"/>
      <c r="AD166" s="5"/>
      <c r="AF166" s="5"/>
      <c r="AG166" s="5"/>
      <c r="AH166" s="5"/>
      <c r="AI166" s="5"/>
      <c r="AJ166" s="5"/>
      <c r="AK166" s="5"/>
      <c r="AM166" s="5"/>
      <c r="AN166" s="5"/>
      <c r="AO166" s="5"/>
      <c r="AP166" s="5"/>
      <c r="AQ166" s="5"/>
      <c r="AR166" s="5"/>
      <c r="AT166" s="5"/>
      <c r="AU166" s="5"/>
      <c r="AV166" s="5"/>
      <c r="AW166" s="5"/>
      <c r="AX166" s="5"/>
      <c r="AY166" s="5"/>
      <c r="BA166" s="5"/>
      <c r="BB166" s="5"/>
      <c r="BC166" s="5"/>
      <c r="BD166" s="5"/>
      <c r="BE166" s="5"/>
      <c r="BF166" s="5"/>
      <c r="BH166" s="5"/>
      <c r="BI166" s="5"/>
      <c r="BJ166" s="5"/>
      <c r="BK166" s="5"/>
      <c r="BL166" s="5"/>
      <c r="BM166" s="5"/>
      <c r="BO166" s="5"/>
      <c r="BP166" s="5"/>
      <c r="BQ166" s="5"/>
      <c r="BR166" s="5"/>
      <c r="BS166" s="5"/>
      <c r="BU166" s="4"/>
      <c r="BV166" s="4"/>
      <c r="BW166" s="4"/>
      <c r="BX166" s="4"/>
    </row>
    <row r="167" spans="4:76" ht="15.75" customHeight="1">
      <c r="D167" s="5"/>
      <c r="E167" s="5"/>
      <c r="F167" s="5"/>
      <c r="G167" s="5"/>
      <c r="H167" s="5"/>
      <c r="I167" s="5"/>
      <c r="K167" s="5"/>
      <c r="L167" s="5"/>
      <c r="M167" s="5"/>
      <c r="N167" s="5"/>
      <c r="O167" s="5"/>
      <c r="P167" s="5"/>
      <c r="R167" s="5"/>
      <c r="S167" s="5"/>
      <c r="T167" s="5"/>
      <c r="U167" s="5"/>
      <c r="V167" s="5"/>
      <c r="W167" s="5"/>
      <c r="Y167" s="5"/>
      <c r="Z167" s="5"/>
      <c r="AA167" s="5"/>
      <c r="AB167" s="5"/>
      <c r="AC167" s="5"/>
      <c r="AD167" s="5"/>
      <c r="AF167" s="5"/>
      <c r="AG167" s="5"/>
      <c r="AH167" s="5"/>
      <c r="AI167" s="5"/>
      <c r="AJ167" s="5"/>
      <c r="AK167" s="5"/>
      <c r="AM167" s="5"/>
      <c r="AN167" s="5"/>
      <c r="AO167" s="5"/>
      <c r="AP167" s="5"/>
      <c r="AQ167" s="5"/>
      <c r="AR167" s="5"/>
      <c r="AT167" s="5"/>
      <c r="AU167" s="5"/>
      <c r="AV167" s="5"/>
      <c r="AW167" s="5"/>
      <c r="AX167" s="5"/>
      <c r="AY167" s="5"/>
      <c r="BA167" s="5"/>
      <c r="BB167" s="5"/>
      <c r="BC167" s="5"/>
      <c r="BD167" s="5"/>
      <c r="BE167" s="5"/>
      <c r="BF167" s="5"/>
      <c r="BH167" s="5"/>
      <c r="BI167" s="5"/>
      <c r="BJ167" s="5"/>
      <c r="BK167" s="5"/>
      <c r="BL167" s="5"/>
      <c r="BM167" s="5"/>
      <c r="BO167" s="5"/>
      <c r="BP167" s="5"/>
      <c r="BQ167" s="5"/>
      <c r="BR167" s="5"/>
      <c r="BS167" s="5"/>
      <c r="BU167" s="4"/>
      <c r="BV167" s="4"/>
      <c r="BW167" s="4"/>
      <c r="BX167" s="4"/>
    </row>
    <row r="168" spans="4:76" ht="15.75" customHeight="1">
      <c r="D168" s="5"/>
      <c r="E168" s="5"/>
      <c r="F168" s="5"/>
      <c r="G168" s="5"/>
      <c r="H168" s="5"/>
      <c r="I168" s="5"/>
      <c r="K168" s="5"/>
      <c r="L168" s="5"/>
      <c r="M168" s="5"/>
      <c r="N168" s="5"/>
      <c r="O168" s="5"/>
      <c r="P168" s="5"/>
      <c r="R168" s="5"/>
      <c r="S168" s="5"/>
      <c r="T168" s="5"/>
      <c r="U168" s="5"/>
      <c r="V168" s="5"/>
      <c r="W168" s="5"/>
      <c r="Y168" s="5"/>
      <c r="Z168" s="5"/>
      <c r="AA168" s="5"/>
      <c r="AB168" s="5"/>
      <c r="AC168" s="5"/>
      <c r="AD168" s="5"/>
      <c r="AF168" s="5"/>
      <c r="AG168" s="5"/>
      <c r="AH168" s="5"/>
      <c r="AI168" s="5"/>
      <c r="AJ168" s="5"/>
      <c r="AK168" s="5"/>
      <c r="AM168" s="5"/>
      <c r="AN168" s="5"/>
      <c r="AO168" s="5"/>
      <c r="AP168" s="5"/>
      <c r="AQ168" s="5"/>
      <c r="AR168" s="5"/>
      <c r="AT168" s="5"/>
      <c r="AU168" s="5"/>
      <c r="AV168" s="5"/>
      <c r="AW168" s="5"/>
      <c r="AX168" s="5"/>
      <c r="AY168" s="5"/>
      <c r="BA168" s="5"/>
      <c r="BB168" s="5"/>
      <c r="BC168" s="5"/>
      <c r="BD168" s="5"/>
      <c r="BE168" s="5"/>
      <c r="BF168" s="5"/>
      <c r="BH168" s="5"/>
      <c r="BI168" s="5"/>
      <c r="BJ168" s="5"/>
      <c r="BK168" s="5"/>
      <c r="BL168" s="5"/>
      <c r="BM168" s="5"/>
      <c r="BO168" s="5"/>
      <c r="BP168" s="5"/>
      <c r="BQ168" s="5"/>
      <c r="BR168" s="5"/>
      <c r="BS168" s="5"/>
      <c r="BU168" s="4"/>
      <c r="BV168" s="4"/>
      <c r="BW168" s="4"/>
      <c r="BX168" s="4"/>
    </row>
    <row r="169" spans="4:76" ht="15.75" customHeight="1">
      <c r="D169" s="5"/>
      <c r="E169" s="5"/>
      <c r="F169" s="5"/>
      <c r="G169" s="5"/>
      <c r="H169" s="5"/>
      <c r="I169" s="5"/>
      <c r="K169" s="5"/>
      <c r="L169" s="5"/>
      <c r="M169" s="5"/>
      <c r="N169" s="5"/>
      <c r="O169" s="5"/>
      <c r="P169" s="5"/>
      <c r="R169" s="5"/>
      <c r="S169" s="5"/>
      <c r="T169" s="5"/>
      <c r="U169" s="5"/>
      <c r="V169" s="5"/>
      <c r="W169" s="5"/>
      <c r="Y169" s="5"/>
      <c r="Z169" s="5"/>
      <c r="AA169" s="5"/>
      <c r="AB169" s="5"/>
      <c r="AC169" s="5"/>
      <c r="AD169" s="5"/>
      <c r="AF169" s="5"/>
      <c r="AG169" s="5"/>
      <c r="AH169" s="5"/>
      <c r="AI169" s="5"/>
      <c r="AJ169" s="5"/>
      <c r="AK169" s="5"/>
      <c r="AM169" s="5"/>
      <c r="AN169" s="5"/>
      <c r="AO169" s="5"/>
      <c r="AP169" s="5"/>
      <c r="AQ169" s="5"/>
      <c r="AR169" s="5"/>
      <c r="AT169" s="5"/>
      <c r="AU169" s="5"/>
      <c r="AV169" s="5"/>
      <c r="AW169" s="5"/>
      <c r="AX169" s="5"/>
      <c r="AY169" s="5"/>
      <c r="BA169" s="5"/>
      <c r="BB169" s="5"/>
      <c r="BC169" s="5"/>
      <c r="BD169" s="5"/>
      <c r="BE169" s="5"/>
      <c r="BF169" s="5"/>
      <c r="BH169" s="5"/>
      <c r="BI169" s="5"/>
      <c r="BJ169" s="5"/>
      <c r="BK169" s="5"/>
      <c r="BL169" s="5"/>
      <c r="BM169" s="5"/>
      <c r="BO169" s="5"/>
      <c r="BP169" s="5"/>
      <c r="BQ169" s="5"/>
      <c r="BR169" s="5"/>
      <c r="BS169" s="5"/>
      <c r="BU169" s="4"/>
      <c r="BV169" s="4"/>
      <c r="BW169" s="4"/>
      <c r="BX169" s="4"/>
    </row>
    <row r="170" spans="4:76" ht="15.75" customHeight="1">
      <c r="D170" s="5"/>
      <c r="E170" s="5"/>
      <c r="F170" s="5"/>
      <c r="G170" s="5"/>
      <c r="H170" s="5"/>
      <c r="I170" s="5"/>
      <c r="K170" s="5"/>
      <c r="L170" s="5"/>
      <c r="M170" s="5"/>
      <c r="N170" s="5"/>
      <c r="O170" s="5"/>
      <c r="P170" s="5"/>
      <c r="R170" s="5"/>
      <c r="S170" s="5"/>
      <c r="T170" s="5"/>
      <c r="U170" s="5"/>
      <c r="V170" s="5"/>
      <c r="W170" s="5"/>
      <c r="Y170" s="5"/>
      <c r="Z170" s="5"/>
      <c r="AA170" s="5"/>
      <c r="AB170" s="5"/>
      <c r="AC170" s="5"/>
      <c r="AD170" s="5"/>
      <c r="AF170" s="5"/>
      <c r="AG170" s="5"/>
      <c r="AH170" s="5"/>
      <c r="AI170" s="5"/>
      <c r="AJ170" s="5"/>
      <c r="AK170" s="5"/>
      <c r="AM170" s="5"/>
      <c r="AN170" s="5"/>
      <c r="AO170" s="5"/>
      <c r="AP170" s="5"/>
      <c r="AQ170" s="5"/>
      <c r="AR170" s="5"/>
      <c r="AT170" s="5"/>
      <c r="AU170" s="5"/>
      <c r="AV170" s="5"/>
      <c r="AW170" s="5"/>
      <c r="AX170" s="5"/>
      <c r="AY170" s="5"/>
      <c r="BA170" s="5"/>
      <c r="BB170" s="5"/>
      <c r="BC170" s="5"/>
      <c r="BD170" s="5"/>
      <c r="BE170" s="5"/>
      <c r="BF170" s="5"/>
      <c r="BH170" s="5"/>
      <c r="BI170" s="5"/>
      <c r="BJ170" s="5"/>
      <c r="BK170" s="5"/>
      <c r="BL170" s="5"/>
      <c r="BM170" s="5"/>
      <c r="BO170" s="5"/>
      <c r="BP170" s="5"/>
      <c r="BQ170" s="5"/>
      <c r="BR170" s="5"/>
      <c r="BS170" s="5"/>
      <c r="BU170" s="4"/>
      <c r="BV170" s="4"/>
      <c r="BW170" s="4"/>
      <c r="BX170" s="4"/>
    </row>
    <row r="171" spans="4:76" ht="15.75" customHeight="1">
      <c r="D171" s="5"/>
      <c r="E171" s="5"/>
      <c r="F171" s="5"/>
      <c r="G171" s="5"/>
      <c r="H171" s="5"/>
      <c r="I171" s="5"/>
      <c r="K171" s="5"/>
      <c r="L171" s="5"/>
      <c r="M171" s="5"/>
      <c r="N171" s="5"/>
      <c r="O171" s="5"/>
      <c r="P171" s="5"/>
      <c r="R171" s="5"/>
      <c r="S171" s="5"/>
      <c r="T171" s="5"/>
      <c r="U171" s="5"/>
      <c r="V171" s="5"/>
      <c r="W171" s="5"/>
      <c r="Y171" s="5"/>
      <c r="Z171" s="5"/>
      <c r="AA171" s="5"/>
      <c r="AB171" s="5"/>
      <c r="AC171" s="5"/>
      <c r="AD171" s="5"/>
      <c r="AF171" s="5"/>
      <c r="AG171" s="5"/>
      <c r="AH171" s="5"/>
      <c r="AI171" s="5"/>
      <c r="AJ171" s="5"/>
      <c r="AK171" s="5"/>
      <c r="AM171" s="5"/>
      <c r="AN171" s="5"/>
      <c r="AO171" s="5"/>
      <c r="AP171" s="5"/>
      <c r="AQ171" s="5"/>
      <c r="AR171" s="5"/>
      <c r="AT171" s="5"/>
      <c r="AU171" s="5"/>
      <c r="AV171" s="5"/>
      <c r="AW171" s="5"/>
      <c r="AX171" s="5"/>
      <c r="AY171" s="5"/>
      <c r="BA171" s="5"/>
      <c r="BB171" s="5"/>
      <c r="BC171" s="5"/>
      <c r="BD171" s="5"/>
      <c r="BE171" s="5"/>
      <c r="BF171" s="5"/>
      <c r="BH171" s="5"/>
      <c r="BI171" s="5"/>
      <c r="BJ171" s="5"/>
      <c r="BK171" s="5"/>
      <c r="BL171" s="5"/>
      <c r="BM171" s="5"/>
      <c r="BO171" s="5"/>
      <c r="BP171" s="5"/>
      <c r="BQ171" s="5"/>
      <c r="BR171" s="5"/>
      <c r="BS171" s="5"/>
      <c r="BU171" s="4"/>
      <c r="BV171" s="4"/>
      <c r="BW171" s="4"/>
      <c r="BX171" s="4"/>
    </row>
    <row r="172" spans="4:76" ht="15.75" customHeight="1">
      <c r="D172" s="5"/>
      <c r="E172" s="5"/>
      <c r="F172" s="5"/>
      <c r="G172" s="5"/>
      <c r="H172" s="5"/>
      <c r="I172" s="5"/>
      <c r="K172" s="5"/>
      <c r="L172" s="5"/>
      <c r="M172" s="5"/>
      <c r="N172" s="5"/>
      <c r="O172" s="5"/>
      <c r="P172" s="5"/>
      <c r="R172" s="5"/>
      <c r="S172" s="5"/>
      <c r="T172" s="5"/>
      <c r="U172" s="5"/>
      <c r="V172" s="5"/>
      <c r="W172" s="5"/>
      <c r="Y172" s="5"/>
      <c r="Z172" s="5"/>
      <c r="AA172" s="5"/>
      <c r="AB172" s="5"/>
      <c r="AC172" s="5"/>
      <c r="AD172" s="5"/>
      <c r="AF172" s="5"/>
      <c r="AG172" s="5"/>
      <c r="AH172" s="5"/>
      <c r="AI172" s="5"/>
      <c r="AJ172" s="5"/>
      <c r="AK172" s="5"/>
      <c r="AM172" s="5"/>
      <c r="AN172" s="5"/>
      <c r="AO172" s="5"/>
      <c r="AP172" s="5"/>
      <c r="AQ172" s="5"/>
      <c r="AR172" s="5"/>
      <c r="AT172" s="5"/>
      <c r="AU172" s="5"/>
      <c r="AV172" s="5"/>
      <c r="AW172" s="5"/>
      <c r="AX172" s="5"/>
      <c r="AY172" s="5"/>
      <c r="BA172" s="5"/>
      <c r="BB172" s="5"/>
      <c r="BC172" s="5"/>
      <c r="BD172" s="5"/>
      <c r="BE172" s="5"/>
      <c r="BF172" s="5"/>
      <c r="BH172" s="5"/>
      <c r="BI172" s="5"/>
      <c r="BJ172" s="5"/>
      <c r="BK172" s="5"/>
      <c r="BL172" s="5"/>
      <c r="BM172" s="5"/>
      <c r="BO172" s="5"/>
      <c r="BP172" s="5"/>
      <c r="BQ172" s="5"/>
      <c r="BR172" s="5"/>
      <c r="BS172" s="5"/>
      <c r="BU172" s="4"/>
      <c r="BV172" s="4"/>
      <c r="BW172" s="4"/>
      <c r="BX172" s="4"/>
    </row>
    <row r="173" spans="4:76" ht="15.75" customHeight="1">
      <c r="D173" s="5"/>
      <c r="E173" s="5"/>
      <c r="F173" s="5"/>
      <c r="G173" s="5"/>
      <c r="H173" s="5"/>
      <c r="I173" s="5"/>
      <c r="K173" s="5"/>
      <c r="L173" s="5"/>
      <c r="M173" s="5"/>
      <c r="N173" s="5"/>
      <c r="O173" s="5"/>
      <c r="P173" s="5"/>
      <c r="R173" s="5"/>
      <c r="S173" s="5"/>
      <c r="T173" s="5"/>
      <c r="U173" s="5"/>
      <c r="V173" s="5"/>
      <c r="W173" s="5"/>
      <c r="Y173" s="5"/>
      <c r="Z173" s="5"/>
      <c r="AA173" s="5"/>
      <c r="AB173" s="5"/>
      <c r="AC173" s="5"/>
      <c r="AD173" s="5"/>
      <c r="AF173" s="5"/>
      <c r="AG173" s="5"/>
      <c r="AH173" s="5"/>
      <c r="AI173" s="5"/>
      <c r="AJ173" s="5"/>
      <c r="AK173" s="5"/>
      <c r="AM173" s="5"/>
      <c r="AN173" s="5"/>
      <c r="AO173" s="5"/>
      <c r="AP173" s="5"/>
      <c r="AQ173" s="5"/>
      <c r="AR173" s="5"/>
      <c r="AT173" s="5"/>
      <c r="AU173" s="5"/>
      <c r="AV173" s="5"/>
      <c r="AW173" s="5"/>
      <c r="AX173" s="5"/>
      <c r="AY173" s="5"/>
      <c r="BA173" s="5"/>
      <c r="BB173" s="5"/>
      <c r="BC173" s="5"/>
      <c r="BD173" s="5"/>
      <c r="BE173" s="5"/>
      <c r="BF173" s="5"/>
      <c r="BH173" s="5"/>
      <c r="BI173" s="5"/>
      <c r="BJ173" s="5"/>
      <c r="BK173" s="5"/>
      <c r="BL173" s="5"/>
      <c r="BM173" s="5"/>
      <c r="BO173" s="5"/>
      <c r="BP173" s="5"/>
      <c r="BQ173" s="5"/>
      <c r="BR173" s="5"/>
      <c r="BS173" s="5"/>
      <c r="BU173" s="4"/>
      <c r="BV173" s="4"/>
      <c r="BW173" s="4"/>
      <c r="BX173" s="4"/>
    </row>
    <row r="174" spans="4:76" ht="15.75" customHeight="1">
      <c r="D174" s="5"/>
      <c r="E174" s="5"/>
      <c r="F174" s="5"/>
      <c r="G174" s="5"/>
      <c r="H174" s="5"/>
      <c r="I174" s="5"/>
      <c r="K174" s="5"/>
      <c r="L174" s="5"/>
      <c r="M174" s="5"/>
      <c r="N174" s="5"/>
      <c r="O174" s="5"/>
      <c r="P174" s="5"/>
      <c r="R174" s="5"/>
      <c r="S174" s="5"/>
      <c r="T174" s="5"/>
      <c r="U174" s="5"/>
      <c r="V174" s="5"/>
      <c r="W174" s="5"/>
      <c r="Y174" s="5"/>
      <c r="Z174" s="5"/>
      <c r="AA174" s="5"/>
      <c r="AB174" s="5"/>
      <c r="AC174" s="5"/>
      <c r="AD174" s="5"/>
      <c r="AF174" s="5"/>
      <c r="AG174" s="5"/>
      <c r="AH174" s="5"/>
      <c r="AI174" s="5"/>
      <c r="AJ174" s="5"/>
      <c r="AK174" s="5"/>
      <c r="AM174" s="5"/>
      <c r="AN174" s="5"/>
      <c r="AO174" s="5"/>
      <c r="AP174" s="5"/>
      <c r="AQ174" s="5"/>
      <c r="AR174" s="5"/>
      <c r="AT174" s="5"/>
      <c r="AU174" s="5"/>
      <c r="AV174" s="5"/>
      <c r="AW174" s="5"/>
      <c r="AX174" s="5"/>
      <c r="AY174" s="5"/>
      <c r="BA174" s="5"/>
      <c r="BB174" s="5"/>
      <c r="BC174" s="5"/>
      <c r="BD174" s="5"/>
      <c r="BE174" s="5"/>
      <c r="BF174" s="5"/>
      <c r="BH174" s="5"/>
      <c r="BI174" s="5"/>
      <c r="BJ174" s="5"/>
      <c r="BK174" s="5"/>
      <c r="BL174" s="5"/>
      <c r="BM174" s="5"/>
      <c r="BO174" s="5"/>
      <c r="BP174" s="5"/>
      <c r="BQ174" s="5"/>
      <c r="BR174" s="5"/>
      <c r="BS174" s="5"/>
      <c r="BU174" s="4"/>
      <c r="BV174" s="4"/>
      <c r="BW174" s="4"/>
      <c r="BX174" s="4"/>
    </row>
    <row r="175" spans="4:76" ht="15.75" customHeight="1">
      <c r="D175" s="5"/>
      <c r="E175" s="5"/>
      <c r="F175" s="5"/>
      <c r="G175" s="5"/>
      <c r="H175" s="5"/>
      <c r="I175" s="5"/>
      <c r="K175" s="5"/>
      <c r="L175" s="5"/>
      <c r="M175" s="5"/>
      <c r="N175" s="5"/>
      <c r="O175" s="5"/>
      <c r="P175" s="5"/>
      <c r="R175" s="5"/>
      <c r="S175" s="5"/>
      <c r="T175" s="5"/>
      <c r="U175" s="5"/>
      <c r="V175" s="5"/>
      <c r="W175" s="5"/>
      <c r="Y175" s="5"/>
      <c r="Z175" s="5"/>
      <c r="AA175" s="5"/>
      <c r="AB175" s="5"/>
      <c r="AC175" s="5"/>
      <c r="AD175" s="5"/>
      <c r="AF175" s="5"/>
      <c r="AG175" s="5"/>
      <c r="AH175" s="5"/>
      <c r="AI175" s="5"/>
      <c r="AJ175" s="5"/>
      <c r="AK175" s="5"/>
      <c r="AM175" s="5"/>
      <c r="AN175" s="5"/>
      <c r="AO175" s="5"/>
      <c r="AP175" s="5"/>
      <c r="AQ175" s="5"/>
      <c r="AR175" s="5"/>
      <c r="AT175" s="5"/>
      <c r="AU175" s="5"/>
      <c r="AV175" s="5"/>
      <c r="AW175" s="5"/>
      <c r="AX175" s="5"/>
      <c r="AY175" s="5"/>
      <c r="BA175" s="5"/>
      <c r="BB175" s="5"/>
      <c r="BC175" s="5"/>
      <c r="BD175" s="5"/>
      <c r="BE175" s="5"/>
      <c r="BF175" s="5"/>
      <c r="BH175" s="5"/>
      <c r="BI175" s="5"/>
      <c r="BJ175" s="5"/>
      <c r="BK175" s="5"/>
      <c r="BL175" s="5"/>
      <c r="BM175" s="5"/>
      <c r="BO175" s="5"/>
      <c r="BP175" s="5"/>
      <c r="BQ175" s="5"/>
      <c r="BR175" s="5"/>
      <c r="BS175" s="5"/>
      <c r="BU175" s="4"/>
      <c r="BV175" s="4"/>
      <c r="BW175" s="4"/>
      <c r="BX175" s="4"/>
    </row>
    <row r="176" spans="4:76" ht="15.75" customHeight="1">
      <c r="D176" s="5"/>
      <c r="E176" s="5"/>
      <c r="F176" s="5"/>
      <c r="G176" s="5"/>
      <c r="H176" s="5"/>
      <c r="I176" s="5"/>
      <c r="K176" s="5"/>
      <c r="L176" s="5"/>
      <c r="M176" s="5"/>
      <c r="N176" s="5"/>
      <c r="O176" s="5"/>
      <c r="P176" s="5"/>
      <c r="R176" s="5"/>
      <c r="S176" s="5"/>
      <c r="T176" s="5"/>
      <c r="U176" s="5"/>
      <c r="V176" s="5"/>
      <c r="W176" s="5"/>
      <c r="Y176" s="5"/>
      <c r="Z176" s="5"/>
      <c r="AA176" s="5"/>
      <c r="AB176" s="5"/>
      <c r="AC176" s="5"/>
      <c r="AD176" s="5"/>
      <c r="AF176" s="5"/>
      <c r="AG176" s="5"/>
      <c r="AH176" s="5"/>
      <c r="AI176" s="5"/>
      <c r="AJ176" s="5"/>
      <c r="AK176" s="5"/>
      <c r="AM176" s="5"/>
      <c r="AN176" s="5"/>
      <c r="AO176" s="5"/>
      <c r="AP176" s="5"/>
      <c r="AQ176" s="5"/>
      <c r="AR176" s="5"/>
      <c r="AT176" s="5"/>
      <c r="AU176" s="5"/>
      <c r="AV176" s="5"/>
      <c r="AW176" s="5"/>
      <c r="AX176" s="5"/>
      <c r="AY176" s="5"/>
      <c r="BA176" s="5"/>
      <c r="BB176" s="5"/>
      <c r="BC176" s="5"/>
      <c r="BD176" s="5"/>
      <c r="BE176" s="5"/>
      <c r="BF176" s="5"/>
      <c r="BH176" s="5"/>
      <c r="BI176" s="5"/>
      <c r="BJ176" s="5"/>
      <c r="BK176" s="5"/>
      <c r="BL176" s="5"/>
      <c r="BM176" s="5"/>
      <c r="BO176" s="5"/>
      <c r="BP176" s="5"/>
      <c r="BQ176" s="5"/>
      <c r="BR176" s="5"/>
      <c r="BS176" s="5"/>
      <c r="BU176" s="4"/>
      <c r="BV176" s="4"/>
      <c r="BW176" s="4"/>
      <c r="BX176" s="4"/>
    </row>
    <row r="177" spans="4:76" ht="15.75" customHeight="1">
      <c r="D177" s="5"/>
      <c r="E177" s="5"/>
      <c r="F177" s="5"/>
      <c r="G177" s="5"/>
      <c r="H177" s="5"/>
      <c r="I177" s="5"/>
      <c r="K177" s="5"/>
      <c r="L177" s="5"/>
      <c r="M177" s="5"/>
      <c r="N177" s="5"/>
      <c r="O177" s="5"/>
      <c r="P177" s="5"/>
      <c r="R177" s="5"/>
      <c r="S177" s="5"/>
      <c r="T177" s="5"/>
      <c r="U177" s="5"/>
      <c r="V177" s="5"/>
      <c r="W177" s="5"/>
      <c r="Y177" s="5"/>
      <c r="Z177" s="5"/>
      <c r="AA177" s="5"/>
      <c r="AB177" s="5"/>
      <c r="AC177" s="5"/>
      <c r="AD177" s="5"/>
      <c r="AF177" s="5"/>
      <c r="AG177" s="5"/>
      <c r="AH177" s="5"/>
      <c r="AI177" s="5"/>
      <c r="AJ177" s="5"/>
      <c r="AK177" s="5"/>
      <c r="AM177" s="5"/>
      <c r="AN177" s="5"/>
      <c r="AO177" s="5"/>
      <c r="AP177" s="5"/>
      <c r="AQ177" s="5"/>
      <c r="AR177" s="5"/>
      <c r="AT177" s="5"/>
      <c r="AU177" s="5"/>
      <c r="AV177" s="5"/>
      <c r="AW177" s="5"/>
      <c r="AX177" s="5"/>
      <c r="AY177" s="5"/>
      <c r="BA177" s="5"/>
      <c r="BB177" s="5"/>
      <c r="BC177" s="5"/>
      <c r="BD177" s="5"/>
      <c r="BE177" s="5"/>
      <c r="BF177" s="5"/>
      <c r="BH177" s="5"/>
      <c r="BI177" s="5"/>
      <c r="BJ177" s="5"/>
      <c r="BK177" s="5"/>
      <c r="BL177" s="5"/>
      <c r="BM177" s="5"/>
      <c r="BO177" s="5"/>
      <c r="BP177" s="5"/>
      <c r="BQ177" s="5"/>
      <c r="BR177" s="5"/>
      <c r="BS177" s="5"/>
      <c r="BU177" s="4"/>
      <c r="BV177" s="4"/>
      <c r="BW177" s="4"/>
      <c r="BX177" s="4"/>
    </row>
    <row r="178" spans="4:76" ht="15.75" customHeight="1">
      <c r="D178" s="5"/>
      <c r="E178" s="5"/>
      <c r="F178" s="5"/>
      <c r="G178" s="5"/>
      <c r="H178" s="5"/>
      <c r="I178" s="5"/>
      <c r="K178" s="5"/>
      <c r="L178" s="5"/>
      <c r="M178" s="5"/>
      <c r="N178" s="5"/>
      <c r="O178" s="5"/>
      <c r="P178" s="5"/>
      <c r="R178" s="5"/>
      <c r="S178" s="5"/>
      <c r="T178" s="5"/>
      <c r="U178" s="5"/>
      <c r="V178" s="5"/>
      <c r="W178" s="5"/>
      <c r="Y178" s="5"/>
      <c r="Z178" s="5"/>
      <c r="AA178" s="5"/>
      <c r="AB178" s="5"/>
      <c r="AC178" s="5"/>
      <c r="AD178" s="5"/>
      <c r="AF178" s="5"/>
      <c r="AG178" s="5"/>
      <c r="AH178" s="5"/>
      <c r="AI178" s="5"/>
      <c r="AJ178" s="5"/>
      <c r="AK178" s="5"/>
      <c r="AM178" s="5"/>
      <c r="AN178" s="5"/>
      <c r="AO178" s="5"/>
      <c r="AP178" s="5"/>
      <c r="AQ178" s="5"/>
      <c r="AR178" s="5"/>
      <c r="AT178" s="5"/>
      <c r="AU178" s="5"/>
      <c r="AV178" s="5"/>
      <c r="AW178" s="5"/>
      <c r="AX178" s="5"/>
      <c r="AY178" s="5"/>
      <c r="BA178" s="5"/>
      <c r="BB178" s="5"/>
      <c r="BC178" s="5"/>
      <c r="BD178" s="5"/>
      <c r="BE178" s="5"/>
      <c r="BF178" s="5"/>
      <c r="BH178" s="5"/>
      <c r="BI178" s="5"/>
      <c r="BJ178" s="5"/>
      <c r="BK178" s="5"/>
      <c r="BL178" s="5"/>
      <c r="BM178" s="5"/>
      <c r="BO178" s="5"/>
      <c r="BP178" s="5"/>
      <c r="BQ178" s="5"/>
      <c r="BR178" s="5"/>
      <c r="BS178" s="5"/>
      <c r="BU178" s="4"/>
      <c r="BV178" s="4"/>
      <c r="BW178" s="4"/>
      <c r="BX178" s="4"/>
    </row>
    <row r="179" spans="4:76" ht="15.75" customHeight="1">
      <c r="D179" s="5"/>
      <c r="E179" s="5"/>
      <c r="F179" s="5"/>
      <c r="G179" s="5"/>
      <c r="H179" s="5"/>
      <c r="I179" s="5"/>
      <c r="K179" s="5"/>
      <c r="L179" s="5"/>
      <c r="M179" s="5"/>
      <c r="N179" s="5"/>
      <c r="O179" s="5"/>
      <c r="P179" s="5"/>
      <c r="R179" s="5"/>
      <c r="S179" s="5"/>
      <c r="T179" s="5"/>
      <c r="U179" s="5"/>
      <c r="V179" s="5"/>
      <c r="W179" s="5"/>
      <c r="Y179" s="5"/>
      <c r="Z179" s="5"/>
      <c r="AA179" s="5"/>
      <c r="AB179" s="5"/>
      <c r="AC179" s="5"/>
      <c r="AD179" s="5"/>
      <c r="AF179" s="5"/>
      <c r="AG179" s="5"/>
      <c r="AH179" s="5"/>
      <c r="AI179" s="5"/>
      <c r="AJ179" s="5"/>
      <c r="AK179" s="5"/>
      <c r="AM179" s="5"/>
      <c r="AN179" s="5"/>
      <c r="AO179" s="5"/>
      <c r="AP179" s="5"/>
      <c r="AQ179" s="5"/>
      <c r="AR179" s="5"/>
      <c r="AT179" s="5"/>
      <c r="AU179" s="5"/>
      <c r="AV179" s="5"/>
      <c r="AW179" s="5"/>
      <c r="AX179" s="5"/>
      <c r="AY179" s="5"/>
      <c r="BA179" s="5"/>
      <c r="BB179" s="5"/>
      <c r="BC179" s="5"/>
      <c r="BD179" s="5"/>
      <c r="BE179" s="5"/>
      <c r="BF179" s="5"/>
      <c r="BH179" s="5"/>
      <c r="BI179" s="5"/>
      <c r="BJ179" s="5"/>
      <c r="BK179" s="5"/>
      <c r="BL179" s="5"/>
      <c r="BM179" s="5"/>
      <c r="BO179" s="5"/>
      <c r="BP179" s="5"/>
      <c r="BQ179" s="5"/>
      <c r="BR179" s="5"/>
      <c r="BS179" s="5"/>
      <c r="BU179" s="4"/>
      <c r="BV179" s="4"/>
      <c r="BW179" s="4"/>
      <c r="BX179" s="4"/>
    </row>
    <row r="180" spans="4:76" ht="15.75" customHeight="1">
      <c r="D180" s="5"/>
      <c r="E180" s="5"/>
      <c r="F180" s="5"/>
      <c r="G180" s="5"/>
      <c r="H180" s="5"/>
      <c r="I180" s="5"/>
      <c r="K180" s="5"/>
      <c r="L180" s="5"/>
      <c r="M180" s="5"/>
      <c r="N180" s="5"/>
      <c r="O180" s="5"/>
      <c r="P180" s="5"/>
      <c r="R180" s="5"/>
      <c r="S180" s="5"/>
      <c r="T180" s="5"/>
      <c r="U180" s="5"/>
      <c r="V180" s="5"/>
      <c r="W180" s="5"/>
      <c r="Y180" s="5"/>
      <c r="Z180" s="5"/>
      <c r="AA180" s="5"/>
      <c r="AB180" s="5"/>
      <c r="AC180" s="5"/>
      <c r="AD180" s="5"/>
      <c r="AF180" s="5"/>
      <c r="AG180" s="5"/>
      <c r="AH180" s="5"/>
      <c r="AI180" s="5"/>
      <c r="AJ180" s="5"/>
      <c r="AK180" s="5"/>
      <c r="AM180" s="5"/>
      <c r="AN180" s="5"/>
      <c r="AO180" s="5"/>
      <c r="AP180" s="5"/>
      <c r="AQ180" s="5"/>
      <c r="AR180" s="5"/>
      <c r="AT180" s="5"/>
      <c r="AU180" s="5"/>
      <c r="AV180" s="5"/>
      <c r="AW180" s="5"/>
      <c r="AX180" s="5"/>
      <c r="AY180" s="5"/>
      <c r="BA180" s="5"/>
      <c r="BB180" s="5"/>
      <c r="BC180" s="5"/>
      <c r="BD180" s="5"/>
      <c r="BE180" s="5"/>
      <c r="BF180" s="5"/>
      <c r="BH180" s="5"/>
      <c r="BI180" s="5"/>
      <c r="BJ180" s="5"/>
      <c r="BK180" s="5"/>
      <c r="BL180" s="5"/>
      <c r="BM180" s="5"/>
      <c r="BO180" s="5"/>
      <c r="BP180" s="5"/>
      <c r="BQ180" s="5"/>
      <c r="BR180" s="5"/>
      <c r="BS180" s="5"/>
      <c r="BU180" s="4"/>
      <c r="BV180" s="4"/>
      <c r="BW180" s="4"/>
      <c r="BX180" s="4"/>
    </row>
    <row r="181" spans="4:76" ht="15.75" customHeight="1">
      <c r="D181" s="5"/>
      <c r="E181" s="5"/>
      <c r="F181" s="5"/>
      <c r="G181" s="5"/>
      <c r="H181" s="5"/>
      <c r="I181" s="5"/>
      <c r="K181" s="5"/>
      <c r="L181" s="5"/>
      <c r="M181" s="5"/>
      <c r="N181" s="5"/>
      <c r="O181" s="5"/>
      <c r="P181" s="5"/>
      <c r="R181" s="5"/>
      <c r="S181" s="5"/>
      <c r="T181" s="5"/>
      <c r="U181" s="5"/>
      <c r="V181" s="5"/>
      <c r="W181" s="5"/>
      <c r="Y181" s="5"/>
      <c r="Z181" s="5"/>
      <c r="AA181" s="5"/>
      <c r="AB181" s="5"/>
      <c r="AC181" s="5"/>
      <c r="AD181" s="5"/>
      <c r="AF181" s="5"/>
      <c r="AG181" s="5"/>
      <c r="AH181" s="5"/>
      <c r="AI181" s="5"/>
      <c r="AJ181" s="5"/>
      <c r="AK181" s="5"/>
      <c r="AM181" s="5"/>
      <c r="AN181" s="5"/>
      <c r="AO181" s="5"/>
      <c r="AP181" s="5"/>
      <c r="AQ181" s="5"/>
      <c r="AR181" s="5"/>
      <c r="AT181" s="5"/>
      <c r="AU181" s="5"/>
      <c r="AV181" s="5"/>
      <c r="AW181" s="5"/>
      <c r="AX181" s="5"/>
      <c r="AY181" s="5"/>
      <c r="BA181" s="5"/>
      <c r="BB181" s="5"/>
      <c r="BC181" s="5"/>
      <c r="BD181" s="5"/>
      <c r="BE181" s="5"/>
      <c r="BF181" s="5"/>
      <c r="BH181" s="5"/>
      <c r="BI181" s="5"/>
      <c r="BJ181" s="5"/>
      <c r="BK181" s="5"/>
      <c r="BL181" s="5"/>
      <c r="BM181" s="5"/>
      <c r="BO181" s="5"/>
      <c r="BP181" s="5"/>
      <c r="BQ181" s="5"/>
      <c r="BR181" s="5"/>
      <c r="BS181" s="5"/>
      <c r="BU181" s="4"/>
      <c r="BV181" s="4"/>
      <c r="BW181" s="4"/>
      <c r="BX181" s="4"/>
    </row>
    <row r="182" spans="4:76" ht="15.75" customHeight="1">
      <c r="D182" s="5"/>
      <c r="E182" s="5"/>
      <c r="F182" s="5"/>
      <c r="G182" s="5"/>
      <c r="H182" s="5"/>
      <c r="I182" s="5"/>
      <c r="K182" s="5"/>
      <c r="L182" s="5"/>
      <c r="M182" s="5"/>
      <c r="N182" s="5"/>
      <c r="O182" s="5"/>
      <c r="P182" s="5"/>
      <c r="R182" s="5"/>
      <c r="S182" s="5"/>
      <c r="T182" s="5"/>
      <c r="U182" s="5"/>
      <c r="V182" s="5"/>
      <c r="W182" s="5"/>
      <c r="Y182" s="5"/>
      <c r="Z182" s="5"/>
      <c r="AA182" s="5"/>
      <c r="AB182" s="5"/>
      <c r="AC182" s="5"/>
      <c r="AD182" s="5"/>
      <c r="AF182" s="5"/>
      <c r="AG182" s="5"/>
      <c r="AH182" s="5"/>
      <c r="AI182" s="5"/>
      <c r="AJ182" s="5"/>
      <c r="AK182" s="5"/>
      <c r="AM182" s="5"/>
      <c r="AN182" s="5"/>
      <c r="AO182" s="5"/>
      <c r="AP182" s="5"/>
      <c r="AQ182" s="5"/>
      <c r="AR182" s="5"/>
      <c r="AT182" s="5"/>
      <c r="AU182" s="5"/>
      <c r="AV182" s="5"/>
      <c r="AW182" s="5"/>
      <c r="AX182" s="5"/>
      <c r="AY182" s="5"/>
      <c r="BA182" s="5"/>
      <c r="BB182" s="5"/>
      <c r="BC182" s="5"/>
      <c r="BD182" s="5"/>
      <c r="BE182" s="5"/>
      <c r="BF182" s="5"/>
      <c r="BH182" s="5"/>
      <c r="BI182" s="5"/>
      <c r="BJ182" s="5"/>
      <c r="BK182" s="5"/>
      <c r="BL182" s="5"/>
      <c r="BM182" s="5"/>
      <c r="BO182" s="5"/>
      <c r="BP182" s="5"/>
      <c r="BQ182" s="5"/>
      <c r="BR182" s="5"/>
      <c r="BS182" s="5"/>
      <c r="BU182" s="4"/>
      <c r="BV182" s="4"/>
      <c r="BW182" s="4"/>
      <c r="BX182" s="4"/>
    </row>
    <row r="183" spans="4:76" ht="15.75" customHeight="1">
      <c r="D183" s="5"/>
      <c r="E183" s="5"/>
      <c r="F183" s="5"/>
      <c r="G183" s="5"/>
      <c r="H183" s="5"/>
      <c r="I183" s="5"/>
      <c r="K183" s="5"/>
      <c r="L183" s="5"/>
      <c r="M183" s="5"/>
      <c r="N183" s="5"/>
      <c r="O183" s="5"/>
      <c r="P183" s="5"/>
      <c r="R183" s="5"/>
      <c r="S183" s="5"/>
      <c r="T183" s="5"/>
      <c r="U183" s="5"/>
      <c r="V183" s="5"/>
      <c r="W183" s="5"/>
      <c r="Y183" s="5"/>
      <c r="Z183" s="5"/>
      <c r="AA183" s="5"/>
      <c r="AB183" s="5"/>
      <c r="AC183" s="5"/>
      <c r="AD183" s="5"/>
      <c r="AF183" s="5"/>
      <c r="AG183" s="5"/>
      <c r="AH183" s="5"/>
      <c r="AI183" s="5"/>
      <c r="AJ183" s="5"/>
      <c r="AK183" s="5"/>
      <c r="AM183" s="5"/>
      <c r="AN183" s="5"/>
      <c r="AO183" s="5"/>
      <c r="AP183" s="5"/>
      <c r="AQ183" s="5"/>
      <c r="AR183" s="5"/>
      <c r="AT183" s="5"/>
      <c r="AU183" s="5"/>
      <c r="AV183" s="5"/>
      <c r="AW183" s="5"/>
      <c r="AX183" s="5"/>
      <c r="AY183" s="5"/>
      <c r="BA183" s="5"/>
      <c r="BB183" s="5"/>
      <c r="BC183" s="5"/>
      <c r="BD183" s="5"/>
      <c r="BE183" s="5"/>
      <c r="BF183" s="5"/>
      <c r="BH183" s="5"/>
      <c r="BI183" s="5"/>
      <c r="BJ183" s="5"/>
      <c r="BK183" s="5"/>
      <c r="BL183" s="5"/>
      <c r="BM183" s="5"/>
      <c r="BO183" s="5"/>
      <c r="BP183" s="5"/>
      <c r="BQ183" s="5"/>
      <c r="BR183" s="5"/>
      <c r="BS183" s="5"/>
      <c r="BU183" s="4"/>
      <c r="BV183" s="4"/>
      <c r="BW183" s="4"/>
      <c r="BX183" s="4"/>
    </row>
    <row r="184" spans="4:76" ht="15.75" customHeight="1">
      <c r="D184" s="5"/>
      <c r="E184" s="5"/>
      <c r="F184" s="5"/>
      <c r="G184" s="5"/>
      <c r="H184" s="5"/>
      <c r="I184" s="5"/>
      <c r="K184" s="5"/>
      <c r="L184" s="5"/>
      <c r="M184" s="5"/>
      <c r="N184" s="5"/>
      <c r="O184" s="5"/>
      <c r="P184" s="5"/>
      <c r="R184" s="5"/>
      <c r="S184" s="5"/>
      <c r="T184" s="5"/>
      <c r="U184" s="5"/>
      <c r="V184" s="5"/>
      <c r="W184" s="5"/>
      <c r="Y184" s="5"/>
      <c r="Z184" s="5"/>
      <c r="AA184" s="5"/>
      <c r="AB184" s="5"/>
      <c r="AC184" s="5"/>
      <c r="AD184" s="5"/>
      <c r="AF184" s="5"/>
      <c r="AG184" s="5"/>
      <c r="AH184" s="5"/>
      <c r="AI184" s="5"/>
      <c r="AJ184" s="5"/>
      <c r="AK184" s="5"/>
      <c r="AM184" s="5"/>
      <c r="AN184" s="5"/>
      <c r="AO184" s="5"/>
      <c r="AP184" s="5"/>
      <c r="AQ184" s="5"/>
      <c r="AR184" s="5"/>
      <c r="AT184" s="5"/>
      <c r="AU184" s="5"/>
      <c r="AV184" s="5"/>
      <c r="AW184" s="5"/>
      <c r="AX184" s="5"/>
      <c r="AY184" s="5"/>
      <c r="BA184" s="5"/>
      <c r="BB184" s="5"/>
      <c r="BC184" s="5"/>
      <c r="BD184" s="5"/>
      <c r="BE184" s="5"/>
      <c r="BF184" s="5"/>
      <c r="BH184" s="5"/>
      <c r="BI184" s="5"/>
      <c r="BJ184" s="5"/>
      <c r="BK184" s="5"/>
      <c r="BL184" s="5"/>
      <c r="BM184" s="5"/>
      <c r="BO184" s="5"/>
      <c r="BP184" s="5"/>
      <c r="BQ184" s="5"/>
      <c r="BR184" s="5"/>
      <c r="BS184" s="5"/>
      <c r="BU184" s="4"/>
      <c r="BV184" s="4"/>
      <c r="BW184" s="4"/>
      <c r="BX184" s="4"/>
    </row>
    <row r="185" spans="4:76" ht="15.75" customHeight="1">
      <c r="D185" s="5"/>
      <c r="E185" s="5"/>
      <c r="F185" s="5"/>
      <c r="G185" s="5"/>
      <c r="H185" s="5"/>
      <c r="I185" s="5"/>
      <c r="K185" s="5"/>
      <c r="L185" s="5"/>
      <c r="M185" s="5"/>
      <c r="N185" s="5"/>
      <c r="O185" s="5"/>
      <c r="P185" s="5"/>
      <c r="R185" s="5"/>
      <c r="S185" s="5"/>
      <c r="T185" s="5"/>
      <c r="U185" s="5"/>
      <c r="V185" s="5"/>
      <c r="W185" s="5"/>
      <c r="Y185" s="5"/>
      <c r="Z185" s="5"/>
      <c r="AA185" s="5"/>
      <c r="AB185" s="5"/>
      <c r="AC185" s="5"/>
      <c r="AD185" s="5"/>
      <c r="AF185" s="5"/>
      <c r="AG185" s="5"/>
      <c r="AH185" s="5"/>
      <c r="AI185" s="5"/>
      <c r="AJ185" s="5"/>
      <c r="AK185" s="5"/>
      <c r="AM185" s="5"/>
      <c r="AN185" s="5"/>
      <c r="AO185" s="5"/>
      <c r="AP185" s="5"/>
      <c r="AQ185" s="5"/>
      <c r="AR185" s="5"/>
      <c r="AT185" s="5"/>
      <c r="AU185" s="5"/>
      <c r="AV185" s="5"/>
      <c r="AW185" s="5"/>
      <c r="AX185" s="5"/>
      <c r="AY185" s="5"/>
      <c r="BA185" s="5"/>
      <c r="BB185" s="5"/>
      <c r="BC185" s="5"/>
      <c r="BD185" s="5"/>
      <c r="BE185" s="5"/>
      <c r="BF185" s="5"/>
      <c r="BH185" s="5"/>
      <c r="BI185" s="5"/>
      <c r="BJ185" s="5"/>
      <c r="BK185" s="5"/>
      <c r="BL185" s="5"/>
      <c r="BM185" s="5"/>
      <c r="BO185" s="5"/>
      <c r="BP185" s="5"/>
      <c r="BQ185" s="5"/>
      <c r="BR185" s="5"/>
      <c r="BS185" s="5"/>
      <c r="BU185" s="4"/>
      <c r="BV185" s="4"/>
      <c r="BW185" s="4"/>
      <c r="BX185" s="4"/>
    </row>
    <row r="186" spans="4:76" ht="15.75" customHeight="1">
      <c r="D186" s="5"/>
      <c r="E186" s="5"/>
      <c r="F186" s="5"/>
      <c r="G186" s="5"/>
      <c r="H186" s="5"/>
      <c r="I186" s="5"/>
      <c r="K186" s="5"/>
      <c r="L186" s="5"/>
      <c r="M186" s="5"/>
      <c r="N186" s="5"/>
      <c r="O186" s="5"/>
      <c r="P186" s="5"/>
      <c r="R186" s="5"/>
      <c r="S186" s="5"/>
      <c r="T186" s="5"/>
      <c r="U186" s="5"/>
      <c r="V186" s="5"/>
      <c r="W186" s="5"/>
      <c r="Y186" s="5"/>
      <c r="Z186" s="5"/>
      <c r="AA186" s="5"/>
      <c r="AB186" s="5"/>
      <c r="AC186" s="5"/>
      <c r="AD186" s="5"/>
      <c r="AF186" s="5"/>
      <c r="AG186" s="5"/>
      <c r="AH186" s="5"/>
      <c r="AI186" s="5"/>
      <c r="AJ186" s="5"/>
      <c r="AK186" s="5"/>
      <c r="AM186" s="5"/>
      <c r="AN186" s="5"/>
      <c r="AO186" s="5"/>
      <c r="AP186" s="5"/>
      <c r="AQ186" s="5"/>
      <c r="AR186" s="5"/>
      <c r="AT186" s="5"/>
      <c r="AU186" s="5"/>
      <c r="AV186" s="5"/>
      <c r="AW186" s="5"/>
      <c r="AX186" s="5"/>
      <c r="AY186" s="5"/>
      <c r="BA186" s="5"/>
      <c r="BB186" s="5"/>
      <c r="BC186" s="5"/>
      <c r="BD186" s="5"/>
      <c r="BE186" s="5"/>
      <c r="BF186" s="5"/>
      <c r="BH186" s="5"/>
      <c r="BI186" s="5"/>
      <c r="BJ186" s="5"/>
      <c r="BK186" s="5"/>
      <c r="BL186" s="5"/>
      <c r="BM186" s="5"/>
      <c r="BO186" s="5"/>
      <c r="BP186" s="5"/>
      <c r="BQ186" s="5"/>
      <c r="BR186" s="5"/>
      <c r="BS186" s="5"/>
      <c r="BU186" s="4"/>
      <c r="BV186" s="4"/>
      <c r="BW186" s="4"/>
      <c r="BX186" s="4"/>
    </row>
    <row r="187" spans="4:76" ht="15.75" customHeight="1">
      <c r="D187" s="5"/>
      <c r="E187" s="5"/>
      <c r="F187" s="5"/>
      <c r="G187" s="5"/>
      <c r="H187" s="5"/>
      <c r="I187" s="5"/>
      <c r="K187" s="5"/>
      <c r="L187" s="5"/>
      <c r="M187" s="5"/>
      <c r="N187" s="5"/>
      <c r="O187" s="5"/>
      <c r="P187" s="5"/>
      <c r="R187" s="5"/>
      <c r="S187" s="5"/>
      <c r="T187" s="5"/>
      <c r="U187" s="5"/>
      <c r="V187" s="5"/>
      <c r="W187" s="5"/>
      <c r="Y187" s="5"/>
      <c r="Z187" s="5"/>
      <c r="AA187" s="5"/>
      <c r="AB187" s="5"/>
      <c r="AC187" s="5"/>
      <c r="AD187" s="5"/>
      <c r="AF187" s="5"/>
      <c r="AG187" s="5"/>
      <c r="AH187" s="5"/>
      <c r="AI187" s="5"/>
      <c r="AJ187" s="5"/>
      <c r="AK187" s="5"/>
      <c r="AM187" s="5"/>
      <c r="AN187" s="5"/>
      <c r="AO187" s="5"/>
      <c r="AP187" s="5"/>
      <c r="AQ187" s="5"/>
      <c r="AR187" s="5"/>
      <c r="AT187" s="5"/>
      <c r="AU187" s="5"/>
      <c r="AV187" s="5"/>
      <c r="AW187" s="5"/>
      <c r="AX187" s="5"/>
      <c r="AY187" s="5"/>
      <c r="BA187" s="5"/>
      <c r="BB187" s="5"/>
      <c r="BC187" s="5"/>
      <c r="BD187" s="5"/>
      <c r="BE187" s="5"/>
      <c r="BF187" s="5"/>
      <c r="BH187" s="5"/>
      <c r="BI187" s="5"/>
      <c r="BJ187" s="5"/>
      <c r="BK187" s="5"/>
      <c r="BL187" s="5"/>
      <c r="BM187" s="5"/>
      <c r="BO187" s="5"/>
      <c r="BP187" s="5"/>
      <c r="BQ187" s="5"/>
      <c r="BR187" s="5"/>
      <c r="BS187" s="5"/>
      <c r="BU187" s="4"/>
      <c r="BV187" s="4"/>
      <c r="BW187" s="4"/>
      <c r="BX187" s="4"/>
    </row>
    <row r="188" spans="4:76" ht="15.75" customHeight="1">
      <c r="D188" s="5"/>
      <c r="E188" s="5"/>
      <c r="F188" s="5"/>
      <c r="G188" s="5"/>
      <c r="H188" s="5"/>
      <c r="I188" s="5"/>
      <c r="K188" s="5"/>
      <c r="L188" s="5"/>
      <c r="M188" s="5"/>
      <c r="N188" s="5"/>
      <c r="O188" s="5"/>
      <c r="P188" s="5"/>
      <c r="R188" s="5"/>
      <c r="S188" s="5"/>
      <c r="T188" s="5"/>
      <c r="U188" s="5"/>
      <c r="V188" s="5"/>
      <c r="W188" s="5"/>
      <c r="Y188" s="5"/>
      <c r="Z188" s="5"/>
      <c r="AA188" s="5"/>
      <c r="AB188" s="5"/>
      <c r="AC188" s="5"/>
      <c r="AD188" s="5"/>
      <c r="AF188" s="5"/>
      <c r="AG188" s="5"/>
      <c r="AH188" s="5"/>
      <c r="AI188" s="5"/>
      <c r="AJ188" s="5"/>
      <c r="AK188" s="5"/>
      <c r="AM188" s="5"/>
      <c r="AN188" s="5"/>
      <c r="AO188" s="5"/>
      <c r="AP188" s="5"/>
      <c r="AQ188" s="5"/>
      <c r="AR188" s="5"/>
      <c r="AT188" s="5"/>
      <c r="AU188" s="5"/>
      <c r="AV188" s="5"/>
      <c r="AW188" s="5"/>
      <c r="AX188" s="5"/>
      <c r="AY188" s="5"/>
      <c r="BA188" s="5"/>
      <c r="BB188" s="5"/>
      <c r="BC188" s="5"/>
      <c r="BD188" s="5"/>
      <c r="BE188" s="5"/>
      <c r="BF188" s="5"/>
      <c r="BH188" s="5"/>
      <c r="BI188" s="5"/>
      <c r="BJ188" s="5"/>
      <c r="BK188" s="5"/>
      <c r="BL188" s="5"/>
      <c r="BM188" s="5"/>
      <c r="BO188" s="5"/>
      <c r="BP188" s="5"/>
      <c r="BQ188" s="5"/>
      <c r="BR188" s="5"/>
      <c r="BS188" s="5"/>
      <c r="BU188" s="4"/>
      <c r="BV188" s="4"/>
      <c r="BW188" s="4"/>
      <c r="BX188" s="4"/>
    </row>
    <row r="189" spans="4:76" ht="15.75" customHeight="1">
      <c r="D189" s="5"/>
      <c r="E189" s="5"/>
      <c r="F189" s="5"/>
      <c r="G189" s="5"/>
      <c r="H189" s="5"/>
      <c r="I189" s="5"/>
      <c r="K189" s="5"/>
      <c r="L189" s="5"/>
      <c r="M189" s="5"/>
      <c r="N189" s="5"/>
      <c r="O189" s="5"/>
      <c r="P189" s="5"/>
      <c r="R189" s="5"/>
      <c r="S189" s="5"/>
      <c r="T189" s="5"/>
      <c r="U189" s="5"/>
      <c r="V189" s="5"/>
      <c r="W189" s="5"/>
      <c r="Y189" s="5"/>
      <c r="Z189" s="5"/>
      <c r="AA189" s="5"/>
      <c r="AB189" s="5"/>
      <c r="AC189" s="5"/>
      <c r="AD189" s="5"/>
      <c r="AF189" s="5"/>
      <c r="AG189" s="5"/>
      <c r="AH189" s="5"/>
      <c r="AI189" s="5"/>
      <c r="AJ189" s="5"/>
      <c r="AK189" s="5"/>
      <c r="AM189" s="5"/>
      <c r="AN189" s="5"/>
      <c r="AO189" s="5"/>
      <c r="AP189" s="5"/>
      <c r="AQ189" s="5"/>
      <c r="AR189" s="5"/>
      <c r="AT189" s="5"/>
      <c r="AU189" s="5"/>
      <c r="AV189" s="5"/>
      <c r="AW189" s="5"/>
      <c r="AX189" s="5"/>
      <c r="AY189" s="5"/>
      <c r="BA189" s="5"/>
      <c r="BB189" s="5"/>
      <c r="BC189" s="5"/>
      <c r="BD189" s="5"/>
      <c r="BE189" s="5"/>
      <c r="BF189" s="5"/>
      <c r="BH189" s="5"/>
      <c r="BI189" s="5"/>
      <c r="BJ189" s="5"/>
      <c r="BK189" s="5"/>
      <c r="BL189" s="5"/>
      <c r="BM189" s="5"/>
      <c r="BO189" s="5"/>
      <c r="BP189" s="5"/>
      <c r="BQ189" s="5"/>
      <c r="BR189" s="5"/>
      <c r="BS189" s="5"/>
      <c r="BU189" s="4"/>
      <c r="BV189" s="4"/>
      <c r="BW189" s="4"/>
      <c r="BX189" s="4"/>
    </row>
    <row r="190" spans="4:76" ht="15.75" customHeight="1">
      <c r="D190" s="5"/>
      <c r="E190" s="5"/>
      <c r="F190" s="5"/>
      <c r="G190" s="5"/>
      <c r="H190" s="5"/>
      <c r="I190" s="5"/>
      <c r="K190" s="5"/>
      <c r="L190" s="5"/>
      <c r="M190" s="5"/>
      <c r="N190" s="5"/>
      <c r="O190" s="5"/>
      <c r="P190" s="5"/>
      <c r="R190" s="5"/>
      <c r="S190" s="5"/>
      <c r="T190" s="5"/>
      <c r="U190" s="5"/>
      <c r="V190" s="5"/>
      <c r="W190" s="5"/>
      <c r="Y190" s="5"/>
      <c r="Z190" s="5"/>
      <c r="AA190" s="5"/>
      <c r="AB190" s="5"/>
      <c r="AC190" s="5"/>
      <c r="AD190" s="5"/>
      <c r="AF190" s="5"/>
      <c r="AG190" s="5"/>
      <c r="AH190" s="5"/>
      <c r="AI190" s="5"/>
      <c r="AJ190" s="5"/>
      <c r="AK190" s="5"/>
      <c r="AM190" s="5"/>
      <c r="AN190" s="5"/>
      <c r="AO190" s="5"/>
      <c r="AP190" s="5"/>
      <c r="AQ190" s="5"/>
      <c r="AR190" s="5"/>
      <c r="AT190" s="5"/>
      <c r="AU190" s="5"/>
      <c r="AV190" s="5"/>
      <c r="AW190" s="5"/>
      <c r="AX190" s="5"/>
      <c r="AY190" s="5"/>
      <c r="BA190" s="5"/>
      <c r="BB190" s="5"/>
      <c r="BC190" s="5"/>
      <c r="BD190" s="5"/>
      <c r="BE190" s="5"/>
      <c r="BF190" s="5"/>
      <c r="BH190" s="5"/>
      <c r="BI190" s="5"/>
      <c r="BJ190" s="5"/>
      <c r="BK190" s="5"/>
      <c r="BL190" s="5"/>
      <c r="BM190" s="5"/>
      <c r="BO190" s="5"/>
      <c r="BP190" s="5"/>
      <c r="BQ190" s="5"/>
      <c r="BR190" s="5"/>
      <c r="BS190" s="5"/>
      <c r="BU190" s="4"/>
      <c r="BV190" s="4"/>
      <c r="BW190" s="4"/>
      <c r="BX190" s="4"/>
    </row>
    <row r="191" spans="4:76" ht="15.75" customHeight="1">
      <c r="D191" s="5"/>
      <c r="E191" s="5"/>
      <c r="F191" s="5"/>
      <c r="G191" s="5"/>
      <c r="H191" s="5"/>
      <c r="I191" s="5"/>
      <c r="K191" s="5"/>
      <c r="L191" s="5"/>
      <c r="M191" s="5"/>
      <c r="N191" s="5"/>
      <c r="O191" s="5"/>
      <c r="P191" s="5"/>
      <c r="R191" s="5"/>
      <c r="S191" s="5"/>
      <c r="T191" s="5"/>
      <c r="U191" s="5"/>
      <c r="V191" s="5"/>
      <c r="W191" s="5"/>
      <c r="Y191" s="5"/>
      <c r="Z191" s="5"/>
      <c r="AA191" s="5"/>
      <c r="AB191" s="5"/>
      <c r="AC191" s="5"/>
      <c r="AD191" s="5"/>
      <c r="AF191" s="5"/>
      <c r="AG191" s="5"/>
      <c r="AH191" s="5"/>
      <c r="AI191" s="5"/>
      <c r="AJ191" s="5"/>
      <c r="AK191" s="5"/>
      <c r="AM191" s="5"/>
      <c r="AN191" s="5"/>
      <c r="AO191" s="5"/>
      <c r="AP191" s="5"/>
      <c r="AQ191" s="5"/>
      <c r="AR191" s="5"/>
      <c r="AT191" s="5"/>
      <c r="AU191" s="5"/>
      <c r="AV191" s="5"/>
      <c r="AW191" s="5"/>
      <c r="AX191" s="5"/>
      <c r="AY191" s="5"/>
      <c r="BA191" s="5"/>
      <c r="BB191" s="5"/>
      <c r="BC191" s="5"/>
      <c r="BD191" s="5"/>
      <c r="BE191" s="5"/>
      <c r="BF191" s="5"/>
      <c r="BH191" s="5"/>
      <c r="BI191" s="5"/>
      <c r="BJ191" s="5"/>
      <c r="BK191" s="5"/>
      <c r="BL191" s="5"/>
      <c r="BM191" s="5"/>
      <c r="BO191" s="5"/>
      <c r="BP191" s="5"/>
      <c r="BQ191" s="5"/>
      <c r="BR191" s="5"/>
      <c r="BS191" s="5"/>
      <c r="BU191" s="4"/>
      <c r="BV191" s="4"/>
      <c r="BW191" s="4"/>
      <c r="BX191" s="4"/>
    </row>
    <row r="192" spans="4:76" ht="15.75" customHeight="1">
      <c r="D192" s="5"/>
      <c r="E192" s="5"/>
      <c r="F192" s="5"/>
      <c r="G192" s="5"/>
      <c r="H192" s="5"/>
      <c r="I192" s="5"/>
      <c r="K192" s="5"/>
      <c r="L192" s="5"/>
      <c r="M192" s="5"/>
      <c r="N192" s="5"/>
      <c r="O192" s="5"/>
      <c r="P192" s="5"/>
      <c r="R192" s="5"/>
      <c r="S192" s="5"/>
      <c r="T192" s="5"/>
      <c r="U192" s="5"/>
      <c r="V192" s="5"/>
      <c r="W192" s="5"/>
      <c r="Y192" s="5"/>
      <c r="Z192" s="5"/>
      <c r="AA192" s="5"/>
      <c r="AB192" s="5"/>
      <c r="AC192" s="5"/>
      <c r="AD192" s="5"/>
      <c r="AF192" s="5"/>
      <c r="AG192" s="5"/>
      <c r="AH192" s="5"/>
      <c r="AI192" s="5"/>
      <c r="AJ192" s="5"/>
      <c r="AK192" s="5"/>
      <c r="AM192" s="5"/>
      <c r="AN192" s="5"/>
      <c r="AO192" s="5"/>
      <c r="AP192" s="5"/>
      <c r="AQ192" s="5"/>
      <c r="AR192" s="5"/>
      <c r="AT192" s="5"/>
      <c r="AU192" s="5"/>
      <c r="AV192" s="5"/>
      <c r="AW192" s="5"/>
      <c r="AX192" s="5"/>
      <c r="AY192" s="5"/>
      <c r="BA192" s="5"/>
      <c r="BB192" s="5"/>
      <c r="BC192" s="5"/>
      <c r="BD192" s="5"/>
      <c r="BE192" s="5"/>
      <c r="BF192" s="5"/>
      <c r="BH192" s="5"/>
      <c r="BI192" s="5"/>
      <c r="BJ192" s="5"/>
      <c r="BK192" s="5"/>
      <c r="BL192" s="5"/>
      <c r="BM192" s="5"/>
      <c r="BO192" s="5"/>
      <c r="BP192" s="5"/>
      <c r="BQ192" s="5"/>
      <c r="BR192" s="5"/>
      <c r="BS192" s="5"/>
      <c r="BU192" s="4"/>
      <c r="BV192" s="4"/>
      <c r="BW192" s="4"/>
      <c r="BX192" s="4"/>
    </row>
    <row r="193" spans="4:76" ht="15.75" customHeight="1">
      <c r="D193" s="5"/>
      <c r="E193" s="5"/>
      <c r="F193" s="5"/>
      <c r="G193" s="5"/>
      <c r="H193" s="5"/>
      <c r="I193" s="5"/>
      <c r="K193" s="5"/>
      <c r="L193" s="5"/>
      <c r="M193" s="5"/>
      <c r="N193" s="5"/>
      <c r="O193" s="5"/>
      <c r="P193" s="5"/>
      <c r="R193" s="5"/>
      <c r="S193" s="5"/>
      <c r="T193" s="5"/>
      <c r="U193" s="5"/>
      <c r="V193" s="5"/>
      <c r="W193" s="5"/>
      <c r="Y193" s="5"/>
      <c r="Z193" s="5"/>
      <c r="AA193" s="5"/>
      <c r="AB193" s="5"/>
      <c r="AC193" s="5"/>
      <c r="AD193" s="5"/>
      <c r="AF193" s="5"/>
      <c r="AG193" s="5"/>
      <c r="AH193" s="5"/>
      <c r="AI193" s="5"/>
      <c r="AJ193" s="5"/>
      <c r="AK193" s="5"/>
      <c r="AM193" s="5"/>
      <c r="AN193" s="5"/>
      <c r="AO193" s="5"/>
      <c r="AP193" s="5"/>
      <c r="AQ193" s="5"/>
      <c r="AR193" s="5"/>
      <c r="AT193" s="5"/>
      <c r="AU193" s="5"/>
      <c r="AV193" s="5"/>
      <c r="AW193" s="5"/>
      <c r="AX193" s="5"/>
      <c r="AY193" s="5"/>
      <c r="BA193" s="5"/>
      <c r="BB193" s="5"/>
      <c r="BC193" s="5"/>
      <c r="BD193" s="5"/>
      <c r="BE193" s="5"/>
      <c r="BF193" s="5"/>
      <c r="BH193" s="5"/>
      <c r="BI193" s="5"/>
      <c r="BJ193" s="5"/>
      <c r="BK193" s="5"/>
      <c r="BL193" s="5"/>
      <c r="BM193" s="5"/>
      <c r="BO193" s="5"/>
      <c r="BP193" s="5"/>
      <c r="BQ193" s="5"/>
      <c r="BR193" s="5"/>
      <c r="BS193" s="5"/>
      <c r="BU193" s="4"/>
      <c r="BV193" s="4"/>
      <c r="BW193" s="4"/>
      <c r="BX193" s="4"/>
    </row>
    <row r="194" spans="4:76" ht="15.75" customHeight="1">
      <c r="D194" s="5"/>
      <c r="E194" s="5"/>
      <c r="F194" s="5"/>
      <c r="G194" s="5"/>
      <c r="H194" s="5"/>
      <c r="I194" s="5"/>
      <c r="K194" s="5"/>
      <c r="L194" s="5"/>
      <c r="M194" s="5"/>
      <c r="N194" s="5"/>
      <c r="O194" s="5"/>
      <c r="P194" s="5"/>
      <c r="R194" s="5"/>
      <c r="S194" s="5"/>
      <c r="T194" s="5"/>
      <c r="U194" s="5"/>
      <c r="V194" s="5"/>
      <c r="W194" s="5"/>
      <c r="Y194" s="5"/>
      <c r="Z194" s="5"/>
      <c r="AA194" s="5"/>
      <c r="AB194" s="5"/>
      <c r="AC194" s="5"/>
      <c r="AD194" s="5"/>
      <c r="AF194" s="5"/>
      <c r="AG194" s="5"/>
      <c r="AH194" s="5"/>
      <c r="AI194" s="5"/>
      <c r="AJ194" s="5"/>
      <c r="AK194" s="5"/>
      <c r="AM194" s="5"/>
      <c r="AN194" s="5"/>
      <c r="AO194" s="5"/>
      <c r="AP194" s="5"/>
      <c r="AQ194" s="5"/>
      <c r="AR194" s="5"/>
      <c r="AT194" s="5"/>
      <c r="AU194" s="5"/>
      <c r="AV194" s="5"/>
      <c r="AW194" s="5"/>
      <c r="AX194" s="5"/>
      <c r="AY194" s="5"/>
      <c r="BA194" s="5"/>
      <c r="BB194" s="5"/>
      <c r="BC194" s="5"/>
      <c r="BD194" s="5"/>
      <c r="BE194" s="5"/>
      <c r="BF194" s="5"/>
      <c r="BH194" s="5"/>
      <c r="BI194" s="5"/>
      <c r="BJ194" s="5"/>
      <c r="BK194" s="5"/>
      <c r="BL194" s="5"/>
      <c r="BM194" s="5"/>
      <c r="BO194" s="5"/>
      <c r="BP194" s="5"/>
      <c r="BQ194" s="5"/>
      <c r="BR194" s="5"/>
      <c r="BS194" s="5"/>
      <c r="BU194" s="4"/>
      <c r="BV194" s="4"/>
      <c r="BW194" s="4"/>
      <c r="BX194" s="4"/>
    </row>
    <row r="195" spans="4:76" ht="15.75" customHeight="1">
      <c r="D195" s="5"/>
      <c r="E195" s="5"/>
      <c r="F195" s="5"/>
      <c r="G195" s="5"/>
      <c r="H195" s="5"/>
      <c r="I195" s="5"/>
      <c r="K195" s="5"/>
      <c r="L195" s="5"/>
      <c r="M195" s="5"/>
      <c r="N195" s="5"/>
      <c r="O195" s="5"/>
      <c r="P195" s="5"/>
      <c r="R195" s="5"/>
      <c r="S195" s="5"/>
      <c r="T195" s="5"/>
      <c r="U195" s="5"/>
      <c r="V195" s="5"/>
      <c r="W195" s="5"/>
      <c r="Y195" s="5"/>
      <c r="Z195" s="5"/>
      <c r="AA195" s="5"/>
      <c r="AB195" s="5"/>
      <c r="AC195" s="5"/>
      <c r="AD195" s="5"/>
      <c r="AF195" s="5"/>
      <c r="AG195" s="5"/>
      <c r="AH195" s="5"/>
      <c r="AI195" s="5"/>
      <c r="AJ195" s="5"/>
      <c r="AK195" s="5"/>
      <c r="AM195" s="5"/>
      <c r="AN195" s="5"/>
      <c r="AO195" s="5"/>
      <c r="AP195" s="5"/>
      <c r="AQ195" s="5"/>
      <c r="AR195" s="5"/>
      <c r="AT195" s="5"/>
      <c r="AU195" s="5"/>
      <c r="AV195" s="5"/>
      <c r="AW195" s="5"/>
      <c r="AX195" s="5"/>
      <c r="AY195" s="5"/>
      <c r="BA195" s="5"/>
      <c r="BB195" s="5"/>
      <c r="BC195" s="5"/>
      <c r="BD195" s="5"/>
      <c r="BE195" s="5"/>
      <c r="BF195" s="5"/>
      <c r="BH195" s="5"/>
      <c r="BI195" s="5"/>
      <c r="BJ195" s="5"/>
      <c r="BK195" s="5"/>
      <c r="BL195" s="5"/>
      <c r="BM195" s="5"/>
      <c r="BO195" s="5"/>
      <c r="BP195" s="5"/>
      <c r="BQ195" s="5"/>
      <c r="BR195" s="5"/>
      <c r="BS195" s="5"/>
      <c r="BU195" s="4"/>
      <c r="BV195" s="4"/>
      <c r="BW195" s="4"/>
      <c r="BX195" s="4"/>
    </row>
    <row r="196" spans="4:76" ht="15.75" customHeight="1">
      <c r="D196" s="5"/>
      <c r="E196" s="5"/>
      <c r="F196" s="5"/>
      <c r="G196" s="5"/>
      <c r="H196" s="5"/>
      <c r="I196" s="5"/>
      <c r="K196" s="5"/>
      <c r="L196" s="5"/>
      <c r="M196" s="5"/>
      <c r="N196" s="5"/>
      <c r="O196" s="5"/>
      <c r="P196" s="5"/>
      <c r="R196" s="5"/>
      <c r="S196" s="5"/>
      <c r="T196" s="5"/>
      <c r="U196" s="5"/>
      <c r="V196" s="5"/>
      <c r="W196" s="5"/>
      <c r="Y196" s="5"/>
      <c r="Z196" s="5"/>
      <c r="AA196" s="5"/>
      <c r="AB196" s="5"/>
      <c r="AC196" s="5"/>
      <c r="AD196" s="5"/>
      <c r="AF196" s="5"/>
      <c r="AG196" s="5"/>
      <c r="AH196" s="5"/>
      <c r="AI196" s="5"/>
      <c r="AJ196" s="5"/>
      <c r="AK196" s="5"/>
      <c r="AM196" s="5"/>
      <c r="AN196" s="5"/>
      <c r="AO196" s="5"/>
      <c r="AP196" s="5"/>
      <c r="AQ196" s="5"/>
      <c r="AR196" s="5"/>
      <c r="AT196" s="5"/>
      <c r="AU196" s="5"/>
      <c r="AV196" s="5"/>
      <c r="AW196" s="5"/>
      <c r="AX196" s="5"/>
      <c r="AY196" s="5"/>
      <c r="BA196" s="5"/>
      <c r="BB196" s="5"/>
      <c r="BC196" s="5"/>
      <c r="BD196" s="5"/>
      <c r="BE196" s="5"/>
      <c r="BF196" s="5"/>
      <c r="BH196" s="5"/>
      <c r="BI196" s="5"/>
      <c r="BJ196" s="5"/>
      <c r="BK196" s="5"/>
      <c r="BL196" s="5"/>
      <c r="BM196" s="5"/>
      <c r="BO196" s="5"/>
      <c r="BP196" s="5"/>
      <c r="BQ196" s="5"/>
      <c r="BR196" s="5"/>
      <c r="BS196" s="5"/>
      <c r="BU196" s="4"/>
      <c r="BV196" s="4"/>
      <c r="BW196" s="4"/>
      <c r="BX196" s="4"/>
    </row>
    <row r="197" spans="4:76" ht="15.75" customHeight="1">
      <c r="D197" s="5"/>
      <c r="E197" s="5"/>
      <c r="F197" s="5"/>
      <c r="G197" s="5"/>
      <c r="H197" s="5"/>
      <c r="I197" s="5"/>
      <c r="K197" s="5"/>
      <c r="L197" s="5"/>
      <c r="M197" s="5"/>
      <c r="N197" s="5"/>
      <c r="O197" s="5"/>
      <c r="P197" s="5"/>
      <c r="R197" s="5"/>
      <c r="S197" s="5"/>
      <c r="T197" s="5"/>
      <c r="U197" s="5"/>
      <c r="V197" s="5"/>
      <c r="W197" s="5"/>
      <c r="Y197" s="5"/>
      <c r="Z197" s="5"/>
      <c r="AA197" s="5"/>
      <c r="AB197" s="5"/>
      <c r="AC197" s="5"/>
      <c r="AD197" s="5"/>
      <c r="AF197" s="5"/>
      <c r="AG197" s="5"/>
      <c r="AH197" s="5"/>
      <c r="AI197" s="5"/>
      <c r="AJ197" s="5"/>
      <c r="AK197" s="5"/>
      <c r="AM197" s="5"/>
      <c r="AN197" s="5"/>
      <c r="AO197" s="5"/>
      <c r="AP197" s="5"/>
      <c r="AQ197" s="5"/>
      <c r="AR197" s="5"/>
      <c r="AT197" s="5"/>
      <c r="AU197" s="5"/>
      <c r="AV197" s="5"/>
      <c r="AW197" s="5"/>
      <c r="AX197" s="5"/>
      <c r="AY197" s="5"/>
      <c r="BA197" s="5"/>
      <c r="BB197" s="5"/>
      <c r="BC197" s="5"/>
      <c r="BD197" s="5"/>
      <c r="BE197" s="5"/>
      <c r="BF197" s="5"/>
      <c r="BH197" s="5"/>
      <c r="BI197" s="5"/>
      <c r="BJ197" s="5"/>
      <c r="BK197" s="5"/>
      <c r="BL197" s="5"/>
      <c r="BM197" s="5"/>
      <c r="BO197" s="5"/>
      <c r="BP197" s="5"/>
      <c r="BQ197" s="5"/>
      <c r="BR197" s="5"/>
      <c r="BS197" s="5"/>
      <c r="BU197" s="4"/>
      <c r="BV197" s="4"/>
      <c r="BW197" s="4"/>
      <c r="BX197" s="4"/>
    </row>
    <row r="198" spans="4:76" ht="15.75" customHeight="1">
      <c r="D198" s="5"/>
      <c r="E198" s="5"/>
      <c r="F198" s="5"/>
      <c r="G198" s="5"/>
      <c r="H198" s="5"/>
      <c r="I198" s="5"/>
      <c r="K198" s="5"/>
      <c r="L198" s="5"/>
      <c r="M198" s="5"/>
      <c r="N198" s="5"/>
      <c r="O198" s="5"/>
      <c r="P198" s="5"/>
      <c r="R198" s="5"/>
      <c r="S198" s="5"/>
      <c r="T198" s="5"/>
      <c r="U198" s="5"/>
      <c r="V198" s="5"/>
      <c r="W198" s="5"/>
      <c r="Y198" s="5"/>
      <c r="Z198" s="5"/>
      <c r="AA198" s="5"/>
      <c r="AB198" s="5"/>
      <c r="AC198" s="5"/>
      <c r="AD198" s="5"/>
      <c r="AF198" s="5"/>
      <c r="AG198" s="5"/>
      <c r="AH198" s="5"/>
      <c r="AI198" s="5"/>
      <c r="AJ198" s="5"/>
      <c r="AK198" s="5"/>
      <c r="AM198" s="5"/>
      <c r="AN198" s="5"/>
      <c r="AO198" s="5"/>
      <c r="AP198" s="5"/>
      <c r="AQ198" s="5"/>
      <c r="AR198" s="5"/>
      <c r="AT198" s="5"/>
      <c r="AU198" s="5"/>
      <c r="AV198" s="5"/>
      <c r="AW198" s="5"/>
      <c r="AX198" s="5"/>
      <c r="AY198" s="5"/>
      <c r="BA198" s="5"/>
      <c r="BB198" s="5"/>
      <c r="BC198" s="5"/>
      <c r="BD198" s="5"/>
      <c r="BE198" s="5"/>
      <c r="BF198" s="5"/>
      <c r="BH198" s="5"/>
      <c r="BI198" s="5"/>
      <c r="BJ198" s="5"/>
      <c r="BK198" s="5"/>
      <c r="BL198" s="5"/>
      <c r="BM198" s="5"/>
      <c r="BO198" s="5"/>
      <c r="BP198" s="5"/>
      <c r="BQ198" s="5"/>
      <c r="BR198" s="5"/>
      <c r="BS198" s="5"/>
      <c r="BU198" s="4"/>
      <c r="BV198" s="4"/>
      <c r="BW198" s="4"/>
      <c r="BX198" s="4"/>
    </row>
    <row r="199" spans="4:76" ht="15.75" customHeight="1">
      <c r="D199" s="5"/>
      <c r="E199" s="5"/>
      <c r="F199" s="5"/>
      <c r="G199" s="5"/>
      <c r="H199" s="5"/>
      <c r="I199" s="5"/>
      <c r="K199" s="5"/>
      <c r="L199" s="5"/>
      <c r="M199" s="5"/>
      <c r="N199" s="5"/>
      <c r="O199" s="5"/>
      <c r="P199" s="5"/>
      <c r="R199" s="5"/>
      <c r="S199" s="5"/>
      <c r="T199" s="5"/>
      <c r="U199" s="5"/>
      <c r="V199" s="5"/>
      <c r="W199" s="5"/>
      <c r="Y199" s="5"/>
      <c r="Z199" s="5"/>
      <c r="AA199" s="5"/>
      <c r="AB199" s="5"/>
      <c r="AC199" s="5"/>
      <c r="AD199" s="5"/>
      <c r="AF199" s="5"/>
      <c r="AG199" s="5"/>
      <c r="AH199" s="5"/>
      <c r="AI199" s="5"/>
      <c r="AJ199" s="5"/>
      <c r="AK199" s="5"/>
      <c r="AM199" s="5"/>
      <c r="AN199" s="5"/>
      <c r="AO199" s="5"/>
      <c r="AP199" s="5"/>
      <c r="AQ199" s="5"/>
      <c r="AR199" s="5"/>
      <c r="AT199" s="5"/>
      <c r="AU199" s="5"/>
      <c r="AV199" s="5"/>
      <c r="AW199" s="5"/>
      <c r="AX199" s="5"/>
      <c r="AY199" s="5"/>
      <c r="BA199" s="5"/>
      <c r="BB199" s="5"/>
      <c r="BC199" s="5"/>
      <c r="BD199" s="5"/>
      <c r="BE199" s="5"/>
      <c r="BF199" s="5"/>
      <c r="BH199" s="5"/>
      <c r="BI199" s="5"/>
      <c r="BJ199" s="5"/>
      <c r="BK199" s="5"/>
      <c r="BL199" s="5"/>
      <c r="BM199" s="5"/>
      <c r="BO199" s="5"/>
      <c r="BP199" s="5"/>
      <c r="BQ199" s="5"/>
      <c r="BR199" s="5"/>
      <c r="BS199" s="5"/>
      <c r="BU199" s="4"/>
      <c r="BV199" s="4"/>
      <c r="BW199" s="4"/>
      <c r="BX199" s="4"/>
    </row>
    <row r="200" spans="4:76" ht="15.75" customHeight="1">
      <c r="D200" s="5"/>
      <c r="E200" s="5"/>
      <c r="F200" s="5"/>
      <c r="G200" s="5"/>
      <c r="H200" s="5"/>
      <c r="I200" s="5"/>
      <c r="K200" s="5"/>
      <c r="L200" s="5"/>
      <c r="M200" s="5"/>
      <c r="N200" s="5"/>
      <c r="O200" s="5"/>
      <c r="P200" s="5"/>
      <c r="R200" s="5"/>
      <c r="S200" s="5"/>
      <c r="T200" s="5"/>
      <c r="U200" s="5"/>
      <c r="V200" s="5"/>
      <c r="W200" s="5"/>
      <c r="Y200" s="5"/>
      <c r="Z200" s="5"/>
      <c r="AA200" s="5"/>
      <c r="AB200" s="5"/>
      <c r="AC200" s="5"/>
      <c r="AD200" s="5"/>
      <c r="AF200" s="5"/>
      <c r="AG200" s="5"/>
      <c r="AH200" s="5"/>
      <c r="AI200" s="5"/>
      <c r="AJ200" s="5"/>
      <c r="AK200" s="5"/>
      <c r="AM200" s="5"/>
      <c r="AN200" s="5"/>
      <c r="AO200" s="5"/>
      <c r="AP200" s="5"/>
      <c r="AQ200" s="5"/>
      <c r="AR200" s="5"/>
      <c r="AT200" s="5"/>
      <c r="AU200" s="5"/>
      <c r="AV200" s="5"/>
      <c r="AW200" s="5"/>
      <c r="AX200" s="5"/>
      <c r="AY200" s="5"/>
      <c r="BA200" s="5"/>
      <c r="BB200" s="5"/>
      <c r="BC200" s="5"/>
      <c r="BD200" s="5"/>
      <c r="BE200" s="5"/>
      <c r="BF200" s="5"/>
      <c r="BH200" s="5"/>
      <c r="BI200" s="5"/>
      <c r="BJ200" s="5"/>
      <c r="BK200" s="5"/>
      <c r="BL200" s="5"/>
      <c r="BM200" s="5"/>
      <c r="BO200" s="5"/>
      <c r="BP200" s="5"/>
      <c r="BQ200" s="5"/>
      <c r="BR200" s="5"/>
      <c r="BS200" s="5"/>
      <c r="BU200" s="4"/>
      <c r="BV200" s="4"/>
      <c r="BW200" s="4"/>
      <c r="BX200" s="4"/>
    </row>
    <row r="201" spans="4:76" ht="15.75" customHeight="1">
      <c r="D201" s="5"/>
      <c r="E201" s="5"/>
      <c r="F201" s="5"/>
      <c r="G201" s="5"/>
      <c r="H201" s="5"/>
      <c r="I201" s="5"/>
      <c r="K201" s="5"/>
      <c r="L201" s="5"/>
      <c r="M201" s="5"/>
      <c r="N201" s="5"/>
      <c r="O201" s="5"/>
      <c r="P201" s="5"/>
      <c r="R201" s="5"/>
      <c r="S201" s="5"/>
      <c r="T201" s="5"/>
      <c r="U201" s="5"/>
      <c r="V201" s="5"/>
      <c r="W201" s="5"/>
      <c r="Y201" s="5"/>
      <c r="Z201" s="5"/>
      <c r="AA201" s="5"/>
      <c r="AB201" s="5"/>
      <c r="AC201" s="5"/>
      <c r="AD201" s="5"/>
      <c r="AF201" s="5"/>
      <c r="AG201" s="5"/>
      <c r="AH201" s="5"/>
      <c r="AI201" s="5"/>
      <c r="AJ201" s="5"/>
      <c r="AK201" s="5"/>
      <c r="AM201" s="5"/>
      <c r="AN201" s="5"/>
      <c r="AO201" s="5"/>
      <c r="AP201" s="5"/>
      <c r="AQ201" s="5"/>
      <c r="AR201" s="5"/>
      <c r="AT201" s="5"/>
      <c r="AU201" s="5"/>
      <c r="AV201" s="5"/>
      <c r="AW201" s="5"/>
      <c r="AX201" s="5"/>
      <c r="AY201" s="5"/>
      <c r="BA201" s="5"/>
      <c r="BB201" s="5"/>
      <c r="BC201" s="5"/>
      <c r="BD201" s="5"/>
      <c r="BE201" s="5"/>
      <c r="BF201" s="5"/>
      <c r="BH201" s="5"/>
      <c r="BI201" s="5"/>
      <c r="BJ201" s="5"/>
      <c r="BK201" s="5"/>
      <c r="BL201" s="5"/>
      <c r="BM201" s="5"/>
      <c r="BO201" s="5"/>
      <c r="BP201" s="5"/>
      <c r="BQ201" s="5"/>
      <c r="BR201" s="5"/>
      <c r="BS201" s="5"/>
      <c r="BU201" s="4"/>
      <c r="BV201" s="4"/>
      <c r="BW201" s="4"/>
      <c r="BX201" s="4"/>
    </row>
    <row r="202" spans="4:76" ht="15.75" customHeight="1">
      <c r="D202" s="5"/>
      <c r="E202" s="5"/>
      <c r="F202" s="5"/>
      <c r="G202" s="5"/>
      <c r="H202" s="5"/>
      <c r="I202" s="5"/>
      <c r="K202" s="5"/>
      <c r="L202" s="5"/>
      <c r="M202" s="5"/>
      <c r="N202" s="5"/>
      <c r="O202" s="5"/>
      <c r="P202" s="5"/>
      <c r="R202" s="5"/>
      <c r="S202" s="5"/>
      <c r="T202" s="5"/>
      <c r="U202" s="5"/>
      <c r="V202" s="5"/>
      <c r="W202" s="5"/>
      <c r="Y202" s="5"/>
      <c r="Z202" s="5"/>
      <c r="AA202" s="5"/>
      <c r="AB202" s="5"/>
      <c r="AC202" s="5"/>
      <c r="AD202" s="5"/>
      <c r="AF202" s="5"/>
      <c r="AG202" s="5"/>
      <c r="AH202" s="5"/>
      <c r="AI202" s="5"/>
      <c r="AJ202" s="5"/>
      <c r="AK202" s="5"/>
      <c r="AM202" s="5"/>
      <c r="AN202" s="5"/>
      <c r="AO202" s="5"/>
      <c r="AP202" s="5"/>
      <c r="AQ202" s="5"/>
      <c r="AR202" s="5"/>
      <c r="AT202" s="5"/>
      <c r="AU202" s="5"/>
      <c r="AV202" s="5"/>
      <c r="AW202" s="5"/>
      <c r="AX202" s="5"/>
      <c r="AY202" s="5"/>
      <c r="BA202" s="5"/>
      <c r="BB202" s="5"/>
      <c r="BC202" s="5"/>
      <c r="BD202" s="5"/>
      <c r="BE202" s="5"/>
      <c r="BF202" s="5"/>
      <c r="BH202" s="5"/>
      <c r="BI202" s="5"/>
      <c r="BJ202" s="5"/>
      <c r="BK202" s="5"/>
      <c r="BL202" s="5"/>
      <c r="BM202" s="5"/>
      <c r="BO202" s="5"/>
      <c r="BP202" s="5"/>
      <c r="BQ202" s="5"/>
      <c r="BR202" s="5"/>
      <c r="BS202" s="5"/>
      <c r="BU202" s="4"/>
      <c r="BV202" s="4"/>
      <c r="BW202" s="4"/>
      <c r="BX202" s="4"/>
    </row>
    <row r="203" spans="4:76" ht="15.75" customHeight="1">
      <c r="D203" s="5"/>
      <c r="E203" s="5"/>
      <c r="F203" s="5"/>
      <c r="G203" s="5"/>
      <c r="H203" s="5"/>
      <c r="I203" s="5"/>
      <c r="K203" s="5"/>
      <c r="L203" s="5"/>
      <c r="M203" s="5"/>
      <c r="N203" s="5"/>
      <c r="O203" s="5"/>
      <c r="P203" s="5"/>
      <c r="R203" s="5"/>
      <c r="S203" s="5"/>
      <c r="T203" s="5"/>
      <c r="U203" s="5"/>
      <c r="V203" s="5"/>
      <c r="W203" s="5"/>
      <c r="Y203" s="5"/>
      <c r="Z203" s="5"/>
      <c r="AA203" s="5"/>
      <c r="AB203" s="5"/>
      <c r="AC203" s="5"/>
      <c r="AD203" s="5"/>
      <c r="AF203" s="5"/>
      <c r="AG203" s="5"/>
      <c r="AH203" s="5"/>
      <c r="AI203" s="5"/>
      <c r="AJ203" s="5"/>
      <c r="AK203" s="5"/>
      <c r="AM203" s="5"/>
      <c r="AN203" s="5"/>
      <c r="AO203" s="5"/>
      <c r="AP203" s="5"/>
      <c r="AQ203" s="5"/>
      <c r="AR203" s="5"/>
      <c r="AT203" s="5"/>
      <c r="AU203" s="5"/>
      <c r="AV203" s="5"/>
      <c r="AW203" s="5"/>
      <c r="AX203" s="5"/>
      <c r="AY203" s="5"/>
      <c r="BA203" s="5"/>
      <c r="BB203" s="5"/>
      <c r="BC203" s="5"/>
      <c r="BD203" s="5"/>
      <c r="BE203" s="5"/>
      <c r="BF203" s="5"/>
      <c r="BH203" s="5"/>
      <c r="BI203" s="5"/>
      <c r="BJ203" s="5"/>
      <c r="BK203" s="5"/>
      <c r="BL203" s="5"/>
      <c r="BM203" s="5"/>
      <c r="BO203" s="5"/>
      <c r="BP203" s="5"/>
      <c r="BQ203" s="5"/>
      <c r="BR203" s="5"/>
      <c r="BS203" s="5"/>
      <c r="BU203" s="4"/>
      <c r="BV203" s="4"/>
      <c r="BW203" s="4"/>
      <c r="BX203" s="4"/>
    </row>
    <row r="204" spans="4:76" ht="15.75" customHeight="1">
      <c r="D204" s="5"/>
      <c r="E204" s="5"/>
      <c r="F204" s="5"/>
      <c r="G204" s="5"/>
      <c r="H204" s="5"/>
      <c r="I204" s="5"/>
      <c r="K204" s="5"/>
      <c r="L204" s="5"/>
      <c r="M204" s="5"/>
      <c r="N204" s="5"/>
      <c r="O204" s="5"/>
      <c r="P204" s="5"/>
      <c r="R204" s="5"/>
      <c r="S204" s="5"/>
      <c r="T204" s="5"/>
      <c r="U204" s="5"/>
      <c r="V204" s="5"/>
      <c r="W204" s="5"/>
      <c r="Y204" s="5"/>
      <c r="Z204" s="5"/>
      <c r="AA204" s="5"/>
      <c r="AB204" s="5"/>
      <c r="AC204" s="5"/>
      <c r="AD204" s="5"/>
      <c r="AF204" s="5"/>
      <c r="AG204" s="5"/>
      <c r="AH204" s="5"/>
      <c r="AI204" s="5"/>
      <c r="AJ204" s="5"/>
      <c r="AK204" s="5"/>
      <c r="AM204" s="5"/>
      <c r="AN204" s="5"/>
      <c r="AO204" s="5"/>
      <c r="AP204" s="5"/>
      <c r="AQ204" s="5"/>
      <c r="AR204" s="5"/>
      <c r="AT204" s="5"/>
      <c r="AU204" s="5"/>
      <c r="AV204" s="5"/>
      <c r="AW204" s="5"/>
      <c r="AX204" s="5"/>
      <c r="AY204" s="5"/>
      <c r="BA204" s="5"/>
      <c r="BB204" s="5"/>
      <c r="BC204" s="5"/>
      <c r="BD204" s="5"/>
      <c r="BE204" s="5"/>
      <c r="BF204" s="5"/>
      <c r="BH204" s="5"/>
      <c r="BI204" s="5"/>
      <c r="BJ204" s="5"/>
      <c r="BK204" s="5"/>
      <c r="BL204" s="5"/>
      <c r="BM204" s="5"/>
      <c r="BO204" s="5"/>
      <c r="BP204" s="5"/>
      <c r="BQ204" s="5"/>
      <c r="BR204" s="5"/>
      <c r="BS204" s="5"/>
      <c r="BU204" s="4"/>
      <c r="BV204" s="4"/>
      <c r="BW204" s="4"/>
      <c r="BX204" s="4"/>
    </row>
    <row r="205" spans="4:76" ht="15.75" customHeight="1">
      <c r="D205" s="5"/>
      <c r="E205" s="5"/>
      <c r="F205" s="5"/>
      <c r="G205" s="5"/>
      <c r="H205" s="5"/>
      <c r="I205" s="5"/>
      <c r="K205" s="5"/>
      <c r="L205" s="5"/>
      <c r="M205" s="5"/>
      <c r="N205" s="5"/>
      <c r="O205" s="5"/>
      <c r="P205" s="5"/>
      <c r="R205" s="5"/>
      <c r="S205" s="5"/>
      <c r="T205" s="5"/>
      <c r="U205" s="5"/>
      <c r="V205" s="5"/>
      <c r="W205" s="5"/>
      <c r="Y205" s="5"/>
      <c r="Z205" s="5"/>
      <c r="AA205" s="5"/>
      <c r="AB205" s="5"/>
      <c r="AC205" s="5"/>
      <c r="AD205" s="5"/>
      <c r="AF205" s="5"/>
      <c r="AG205" s="5"/>
      <c r="AH205" s="5"/>
      <c r="AI205" s="5"/>
      <c r="AJ205" s="5"/>
      <c r="AK205" s="5"/>
      <c r="AM205" s="5"/>
      <c r="AN205" s="5"/>
      <c r="AO205" s="5"/>
      <c r="AP205" s="5"/>
      <c r="AQ205" s="5"/>
      <c r="AR205" s="5"/>
      <c r="AT205" s="5"/>
      <c r="AU205" s="5"/>
      <c r="AV205" s="5"/>
      <c r="AW205" s="5"/>
      <c r="AX205" s="5"/>
      <c r="AY205" s="5"/>
      <c r="BA205" s="5"/>
      <c r="BB205" s="5"/>
      <c r="BC205" s="5"/>
      <c r="BD205" s="5"/>
      <c r="BE205" s="5"/>
      <c r="BF205" s="5"/>
      <c r="BH205" s="5"/>
      <c r="BI205" s="5"/>
      <c r="BJ205" s="5"/>
      <c r="BK205" s="5"/>
      <c r="BL205" s="5"/>
      <c r="BM205" s="5"/>
      <c r="BO205" s="5"/>
      <c r="BP205" s="5"/>
      <c r="BQ205" s="5"/>
      <c r="BR205" s="5"/>
      <c r="BS205" s="5"/>
      <c r="BU205" s="4"/>
      <c r="BV205" s="4"/>
      <c r="BW205" s="4"/>
      <c r="BX205" s="4"/>
    </row>
    <row r="206" spans="4:76" ht="15.75" customHeight="1">
      <c r="D206" s="5"/>
      <c r="E206" s="5"/>
      <c r="F206" s="5"/>
      <c r="G206" s="5"/>
      <c r="H206" s="5"/>
      <c r="I206" s="5"/>
      <c r="K206" s="5"/>
      <c r="L206" s="5"/>
      <c r="M206" s="5"/>
      <c r="N206" s="5"/>
      <c r="O206" s="5"/>
      <c r="P206" s="5"/>
      <c r="R206" s="5"/>
      <c r="S206" s="5"/>
      <c r="T206" s="5"/>
      <c r="U206" s="5"/>
      <c r="V206" s="5"/>
      <c r="W206" s="5"/>
      <c r="Y206" s="5"/>
      <c r="Z206" s="5"/>
      <c r="AA206" s="5"/>
      <c r="AB206" s="5"/>
      <c r="AC206" s="5"/>
      <c r="AD206" s="5"/>
      <c r="AF206" s="5"/>
      <c r="AG206" s="5"/>
      <c r="AH206" s="5"/>
      <c r="AI206" s="5"/>
      <c r="AJ206" s="5"/>
      <c r="AK206" s="5"/>
      <c r="AM206" s="5"/>
      <c r="AN206" s="5"/>
      <c r="AO206" s="5"/>
      <c r="AP206" s="5"/>
      <c r="AQ206" s="5"/>
      <c r="AR206" s="5"/>
      <c r="AT206" s="5"/>
      <c r="AU206" s="5"/>
      <c r="AV206" s="5"/>
      <c r="AW206" s="5"/>
      <c r="AX206" s="5"/>
      <c r="AY206" s="5"/>
      <c r="BA206" s="5"/>
      <c r="BB206" s="5"/>
      <c r="BC206" s="5"/>
      <c r="BD206" s="5"/>
      <c r="BE206" s="5"/>
      <c r="BF206" s="5"/>
      <c r="BH206" s="5"/>
      <c r="BI206" s="5"/>
      <c r="BJ206" s="5"/>
      <c r="BK206" s="5"/>
      <c r="BL206" s="5"/>
      <c r="BM206" s="5"/>
      <c r="BO206" s="5"/>
      <c r="BP206" s="5"/>
      <c r="BQ206" s="5"/>
      <c r="BR206" s="5"/>
      <c r="BS206" s="5"/>
      <c r="BU206" s="4"/>
      <c r="BV206" s="4"/>
      <c r="BW206" s="4"/>
      <c r="BX206" s="4"/>
    </row>
    <row r="207" spans="4:76" ht="15.75" customHeight="1">
      <c r="D207" s="5"/>
      <c r="E207" s="5"/>
      <c r="F207" s="5"/>
      <c r="G207" s="5"/>
      <c r="H207" s="5"/>
      <c r="I207" s="5"/>
      <c r="K207" s="5"/>
      <c r="L207" s="5"/>
      <c r="M207" s="5"/>
      <c r="N207" s="5"/>
      <c r="O207" s="5"/>
      <c r="P207" s="5"/>
      <c r="R207" s="5"/>
      <c r="S207" s="5"/>
      <c r="T207" s="5"/>
      <c r="U207" s="5"/>
      <c r="V207" s="5"/>
      <c r="W207" s="5"/>
      <c r="Y207" s="5"/>
      <c r="Z207" s="5"/>
      <c r="AA207" s="5"/>
      <c r="AB207" s="5"/>
      <c r="AC207" s="5"/>
      <c r="AD207" s="5"/>
      <c r="AF207" s="5"/>
      <c r="AG207" s="5"/>
      <c r="AH207" s="5"/>
      <c r="AI207" s="5"/>
      <c r="AJ207" s="5"/>
      <c r="AK207" s="5"/>
      <c r="AM207" s="5"/>
      <c r="AN207" s="5"/>
      <c r="AO207" s="5"/>
      <c r="AP207" s="5"/>
      <c r="AQ207" s="5"/>
      <c r="AR207" s="5"/>
      <c r="AT207" s="5"/>
      <c r="AU207" s="5"/>
      <c r="AV207" s="5"/>
      <c r="AW207" s="5"/>
      <c r="AX207" s="5"/>
      <c r="AY207" s="5"/>
      <c r="BA207" s="5"/>
      <c r="BB207" s="5"/>
      <c r="BC207" s="5"/>
      <c r="BD207" s="5"/>
      <c r="BE207" s="5"/>
      <c r="BF207" s="5"/>
      <c r="BH207" s="5"/>
      <c r="BI207" s="5"/>
      <c r="BJ207" s="5"/>
      <c r="BK207" s="5"/>
      <c r="BL207" s="5"/>
      <c r="BM207" s="5"/>
      <c r="BO207" s="5"/>
      <c r="BP207" s="5"/>
      <c r="BQ207" s="5"/>
      <c r="BR207" s="5"/>
      <c r="BS207" s="5"/>
      <c r="BU207" s="4"/>
      <c r="BV207" s="4"/>
      <c r="BW207" s="4"/>
      <c r="BX207" s="4"/>
    </row>
    <row r="208" spans="4:76" ht="15.75" customHeight="1">
      <c r="D208" s="5"/>
      <c r="E208" s="5"/>
      <c r="F208" s="5"/>
      <c r="G208" s="5"/>
      <c r="H208" s="5"/>
      <c r="I208" s="5"/>
      <c r="K208" s="5"/>
      <c r="L208" s="5"/>
      <c r="M208" s="5"/>
      <c r="N208" s="5"/>
      <c r="O208" s="5"/>
      <c r="P208" s="5"/>
      <c r="R208" s="5"/>
      <c r="S208" s="5"/>
      <c r="T208" s="5"/>
      <c r="U208" s="5"/>
      <c r="V208" s="5"/>
      <c r="W208" s="5"/>
      <c r="Y208" s="5"/>
      <c r="Z208" s="5"/>
      <c r="AA208" s="5"/>
      <c r="AB208" s="5"/>
      <c r="AC208" s="5"/>
      <c r="AD208" s="5"/>
      <c r="AF208" s="5"/>
      <c r="AG208" s="5"/>
      <c r="AH208" s="5"/>
      <c r="AI208" s="5"/>
      <c r="AJ208" s="5"/>
      <c r="AK208" s="5"/>
      <c r="AM208" s="5"/>
      <c r="AN208" s="5"/>
      <c r="AO208" s="5"/>
      <c r="AP208" s="5"/>
      <c r="AQ208" s="5"/>
      <c r="AR208" s="5"/>
      <c r="AT208" s="5"/>
      <c r="AU208" s="5"/>
      <c r="AV208" s="5"/>
      <c r="AW208" s="5"/>
      <c r="AX208" s="5"/>
      <c r="AY208" s="5"/>
      <c r="BA208" s="5"/>
      <c r="BB208" s="5"/>
      <c r="BC208" s="5"/>
      <c r="BD208" s="5"/>
      <c r="BE208" s="5"/>
      <c r="BF208" s="5"/>
      <c r="BH208" s="5"/>
      <c r="BI208" s="5"/>
      <c r="BJ208" s="5"/>
      <c r="BK208" s="5"/>
      <c r="BL208" s="5"/>
      <c r="BM208" s="5"/>
      <c r="BO208" s="5"/>
      <c r="BP208" s="5"/>
      <c r="BQ208" s="5"/>
      <c r="BR208" s="5"/>
      <c r="BS208" s="5"/>
      <c r="BU208" s="4"/>
      <c r="BV208" s="4"/>
      <c r="BW208" s="4"/>
      <c r="BX208" s="4"/>
    </row>
    <row r="209" spans="4:76" ht="15.75" customHeight="1">
      <c r="D209" s="5"/>
      <c r="E209" s="5"/>
      <c r="F209" s="5"/>
      <c r="G209" s="5"/>
      <c r="H209" s="5"/>
      <c r="I209" s="5"/>
      <c r="K209" s="5"/>
      <c r="L209" s="5"/>
      <c r="M209" s="5"/>
      <c r="N209" s="5"/>
      <c r="O209" s="5"/>
      <c r="P209" s="5"/>
      <c r="R209" s="5"/>
      <c r="S209" s="5"/>
      <c r="T209" s="5"/>
      <c r="U209" s="5"/>
      <c r="V209" s="5"/>
      <c r="W209" s="5"/>
      <c r="Y209" s="5"/>
      <c r="Z209" s="5"/>
      <c r="AA209" s="5"/>
      <c r="AB209" s="5"/>
      <c r="AC209" s="5"/>
      <c r="AD209" s="5"/>
      <c r="AF209" s="5"/>
      <c r="AG209" s="5"/>
      <c r="AH209" s="5"/>
      <c r="AI209" s="5"/>
      <c r="AJ209" s="5"/>
      <c r="AK209" s="5"/>
      <c r="AM209" s="5"/>
      <c r="AN209" s="5"/>
      <c r="AO209" s="5"/>
      <c r="AP209" s="5"/>
      <c r="AQ209" s="5"/>
      <c r="AR209" s="5"/>
      <c r="AT209" s="5"/>
      <c r="AU209" s="5"/>
      <c r="AV209" s="5"/>
      <c r="AW209" s="5"/>
      <c r="AX209" s="5"/>
      <c r="AY209" s="5"/>
      <c r="BA209" s="5"/>
      <c r="BB209" s="5"/>
      <c r="BC209" s="5"/>
      <c r="BD209" s="5"/>
      <c r="BE209" s="5"/>
      <c r="BF209" s="5"/>
      <c r="BH209" s="5"/>
      <c r="BI209" s="5"/>
      <c r="BJ209" s="5"/>
      <c r="BK209" s="5"/>
      <c r="BL209" s="5"/>
      <c r="BM209" s="5"/>
      <c r="BO209" s="5"/>
      <c r="BP209" s="5"/>
      <c r="BQ209" s="5"/>
      <c r="BR209" s="5"/>
      <c r="BS209" s="5"/>
      <c r="BU209" s="4"/>
      <c r="BV209" s="4"/>
      <c r="BW209" s="4"/>
      <c r="BX209" s="4"/>
    </row>
    <row r="210" spans="4:76" ht="15.75" customHeight="1">
      <c r="D210" s="5"/>
      <c r="E210" s="5"/>
      <c r="F210" s="5"/>
      <c r="G210" s="5"/>
      <c r="H210" s="5"/>
      <c r="I210" s="5"/>
      <c r="K210" s="5"/>
      <c r="L210" s="5"/>
      <c r="M210" s="5"/>
      <c r="N210" s="5"/>
      <c r="O210" s="5"/>
      <c r="P210" s="5"/>
      <c r="R210" s="5"/>
      <c r="S210" s="5"/>
      <c r="T210" s="5"/>
      <c r="U210" s="5"/>
      <c r="V210" s="5"/>
      <c r="W210" s="5"/>
      <c r="Y210" s="5"/>
      <c r="Z210" s="5"/>
      <c r="AA210" s="5"/>
      <c r="AB210" s="5"/>
      <c r="AC210" s="5"/>
      <c r="AD210" s="5"/>
      <c r="AF210" s="5"/>
      <c r="AG210" s="5"/>
      <c r="AH210" s="5"/>
      <c r="AI210" s="5"/>
      <c r="AJ210" s="5"/>
      <c r="AK210" s="5"/>
      <c r="AM210" s="5"/>
      <c r="AN210" s="5"/>
      <c r="AO210" s="5"/>
      <c r="AP210" s="5"/>
      <c r="AQ210" s="5"/>
      <c r="AR210" s="5"/>
      <c r="AT210" s="5"/>
      <c r="AU210" s="5"/>
      <c r="AV210" s="5"/>
      <c r="AW210" s="5"/>
      <c r="AX210" s="5"/>
      <c r="AY210" s="5"/>
      <c r="BA210" s="5"/>
      <c r="BB210" s="5"/>
      <c r="BC210" s="5"/>
      <c r="BD210" s="5"/>
      <c r="BE210" s="5"/>
      <c r="BF210" s="5"/>
      <c r="BH210" s="5"/>
      <c r="BI210" s="5"/>
      <c r="BJ210" s="5"/>
      <c r="BK210" s="5"/>
      <c r="BL210" s="5"/>
      <c r="BM210" s="5"/>
      <c r="BO210" s="5"/>
      <c r="BP210" s="5"/>
      <c r="BQ210" s="5"/>
      <c r="BR210" s="5"/>
      <c r="BS210" s="5"/>
      <c r="BU210" s="4"/>
      <c r="BV210" s="4"/>
      <c r="BW210" s="4"/>
      <c r="BX210" s="4"/>
    </row>
    <row r="211" spans="4:76" ht="15.75" customHeight="1">
      <c r="D211" s="5"/>
      <c r="E211" s="5"/>
      <c r="F211" s="5"/>
      <c r="G211" s="5"/>
      <c r="H211" s="5"/>
      <c r="I211" s="5"/>
      <c r="K211" s="5"/>
      <c r="L211" s="5"/>
      <c r="M211" s="5"/>
      <c r="N211" s="5"/>
      <c r="O211" s="5"/>
      <c r="P211" s="5"/>
      <c r="R211" s="5"/>
      <c r="S211" s="5"/>
      <c r="T211" s="5"/>
      <c r="U211" s="5"/>
      <c r="V211" s="5"/>
      <c r="W211" s="5"/>
      <c r="Y211" s="5"/>
      <c r="Z211" s="5"/>
      <c r="AA211" s="5"/>
      <c r="AB211" s="5"/>
      <c r="AC211" s="5"/>
      <c r="AD211" s="5"/>
      <c r="AF211" s="5"/>
      <c r="AG211" s="5"/>
      <c r="AH211" s="5"/>
      <c r="AI211" s="5"/>
      <c r="AJ211" s="5"/>
      <c r="AK211" s="5"/>
      <c r="AM211" s="5"/>
      <c r="AN211" s="5"/>
      <c r="AO211" s="5"/>
      <c r="AP211" s="5"/>
      <c r="AQ211" s="5"/>
      <c r="AR211" s="5"/>
      <c r="AT211" s="5"/>
      <c r="AU211" s="5"/>
      <c r="AV211" s="5"/>
      <c r="AW211" s="5"/>
      <c r="AX211" s="5"/>
      <c r="AY211" s="5"/>
      <c r="BA211" s="5"/>
      <c r="BB211" s="5"/>
      <c r="BC211" s="5"/>
      <c r="BD211" s="5"/>
      <c r="BE211" s="5"/>
      <c r="BF211" s="5"/>
      <c r="BH211" s="5"/>
      <c r="BI211" s="5"/>
      <c r="BJ211" s="5"/>
      <c r="BK211" s="5"/>
      <c r="BL211" s="5"/>
      <c r="BM211" s="5"/>
      <c r="BO211" s="5"/>
      <c r="BP211" s="5"/>
      <c r="BQ211" s="5"/>
      <c r="BR211" s="5"/>
      <c r="BS211" s="5"/>
      <c r="BU211" s="4"/>
      <c r="BV211" s="4"/>
      <c r="BW211" s="4"/>
      <c r="BX211" s="4"/>
    </row>
    <row r="212" spans="4:76" ht="15.75" customHeight="1">
      <c r="D212" s="5"/>
      <c r="E212" s="5"/>
      <c r="F212" s="5"/>
      <c r="G212" s="5"/>
      <c r="H212" s="5"/>
      <c r="I212" s="5"/>
      <c r="K212" s="5"/>
      <c r="L212" s="5"/>
      <c r="M212" s="5"/>
      <c r="N212" s="5"/>
      <c r="O212" s="5"/>
      <c r="P212" s="5"/>
      <c r="R212" s="5"/>
      <c r="S212" s="5"/>
      <c r="T212" s="5"/>
      <c r="U212" s="5"/>
      <c r="V212" s="5"/>
      <c r="W212" s="5"/>
      <c r="Y212" s="5"/>
      <c r="Z212" s="5"/>
      <c r="AA212" s="5"/>
      <c r="AB212" s="5"/>
      <c r="AC212" s="5"/>
      <c r="AD212" s="5"/>
      <c r="AF212" s="5"/>
      <c r="AG212" s="5"/>
      <c r="AH212" s="5"/>
      <c r="AI212" s="5"/>
      <c r="AJ212" s="5"/>
      <c r="AK212" s="5"/>
      <c r="AM212" s="5"/>
      <c r="AN212" s="5"/>
      <c r="AO212" s="5"/>
      <c r="AP212" s="5"/>
      <c r="AQ212" s="5"/>
      <c r="AR212" s="5"/>
      <c r="AT212" s="5"/>
      <c r="AU212" s="5"/>
      <c r="AV212" s="5"/>
      <c r="AW212" s="5"/>
      <c r="AX212" s="5"/>
      <c r="AY212" s="5"/>
      <c r="BA212" s="5"/>
      <c r="BB212" s="5"/>
      <c r="BC212" s="5"/>
      <c r="BD212" s="5"/>
      <c r="BE212" s="5"/>
      <c r="BF212" s="5"/>
      <c r="BH212" s="5"/>
      <c r="BI212" s="5"/>
      <c r="BJ212" s="5"/>
      <c r="BK212" s="5"/>
      <c r="BL212" s="5"/>
      <c r="BM212" s="5"/>
      <c r="BO212" s="5"/>
      <c r="BP212" s="5"/>
      <c r="BQ212" s="5"/>
      <c r="BR212" s="5"/>
      <c r="BS212" s="5"/>
      <c r="BU212" s="4"/>
      <c r="BV212" s="4"/>
      <c r="BW212" s="4"/>
      <c r="BX212" s="4"/>
    </row>
    <row r="213" spans="4:76" ht="15.75" customHeight="1">
      <c r="D213" s="5"/>
      <c r="E213" s="5"/>
      <c r="F213" s="5"/>
      <c r="G213" s="5"/>
      <c r="H213" s="5"/>
      <c r="I213" s="5"/>
      <c r="K213" s="5"/>
      <c r="L213" s="5"/>
      <c r="M213" s="5"/>
      <c r="N213" s="5"/>
      <c r="O213" s="5"/>
      <c r="P213" s="5"/>
      <c r="R213" s="5"/>
      <c r="S213" s="5"/>
      <c r="T213" s="5"/>
      <c r="U213" s="5"/>
      <c r="V213" s="5"/>
      <c r="W213" s="5"/>
      <c r="Y213" s="5"/>
      <c r="Z213" s="5"/>
      <c r="AA213" s="5"/>
      <c r="AB213" s="5"/>
      <c r="AC213" s="5"/>
      <c r="AD213" s="5"/>
      <c r="AF213" s="5"/>
      <c r="AG213" s="5"/>
      <c r="AH213" s="5"/>
      <c r="AI213" s="5"/>
      <c r="AJ213" s="5"/>
      <c r="AK213" s="5"/>
      <c r="AM213" s="5"/>
      <c r="AN213" s="5"/>
      <c r="AO213" s="5"/>
      <c r="AP213" s="5"/>
      <c r="AQ213" s="5"/>
      <c r="AR213" s="5"/>
      <c r="AT213" s="5"/>
      <c r="AU213" s="5"/>
      <c r="AV213" s="5"/>
      <c r="AW213" s="5"/>
      <c r="AX213" s="5"/>
      <c r="AY213" s="5"/>
      <c r="BA213" s="5"/>
      <c r="BB213" s="5"/>
      <c r="BC213" s="5"/>
      <c r="BD213" s="5"/>
      <c r="BE213" s="5"/>
      <c r="BF213" s="5"/>
      <c r="BH213" s="5"/>
      <c r="BI213" s="5"/>
      <c r="BJ213" s="5"/>
      <c r="BK213" s="5"/>
      <c r="BL213" s="5"/>
      <c r="BM213" s="5"/>
      <c r="BO213" s="5"/>
      <c r="BP213" s="5"/>
      <c r="BQ213" s="5"/>
      <c r="BR213" s="5"/>
      <c r="BS213" s="5"/>
      <c r="BU213" s="4"/>
      <c r="BV213" s="4"/>
      <c r="BW213" s="4"/>
      <c r="BX213" s="4"/>
    </row>
    <row r="214" spans="4:76" ht="15.75" customHeight="1">
      <c r="D214" s="5"/>
      <c r="E214" s="5"/>
      <c r="F214" s="5"/>
      <c r="G214" s="5"/>
      <c r="H214" s="5"/>
      <c r="I214" s="5"/>
      <c r="K214" s="5"/>
      <c r="L214" s="5"/>
      <c r="M214" s="5"/>
      <c r="N214" s="5"/>
      <c r="O214" s="5"/>
      <c r="P214" s="5"/>
      <c r="R214" s="5"/>
      <c r="S214" s="5"/>
      <c r="T214" s="5"/>
      <c r="U214" s="5"/>
      <c r="V214" s="5"/>
      <c r="W214" s="5"/>
      <c r="Y214" s="5"/>
      <c r="Z214" s="5"/>
      <c r="AA214" s="5"/>
      <c r="AB214" s="5"/>
      <c r="AC214" s="5"/>
      <c r="AD214" s="5"/>
      <c r="AF214" s="5"/>
      <c r="AG214" s="5"/>
      <c r="AH214" s="5"/>
      <c r="AI214" s="5"/>
      <c r="AJ214" s="5"/>
      <c r="AK214" s="5"/>
      <c r="AM214" s="5"/>
      <c r="AN214" s="5"/>
      <c r="AO214" s="5"/>
      <c r="AP214" s="5"/>
      <c r="AQ214" s="5"/>
      <c r="AR214" s="5"/>
      <c r="AT214" s="5"/>
      <c r="AU214" s="5"/>
      <c r="AV214" s="5"/>
      <c r="AW214" s="5"/>
      <c r="AX214" s="5"/>
      <c r="AY214" s="5"/>
      <c r="BA214" s="5"/>
      <c r="BB214" s="5"/>
      <c r="BC214" s="5"/>
      <c r="BD214" s="5"/>
      <c r="BE214" s="5"/>
      <c r="BF214" s="5"/>
      <c r="BH214" s="5"/>
      <c r="BI214" s="5"/>
      <c r="BJ214" s="5"/>
      <c r="BK214" s="5"/>
      <c r="BL214" s="5"/>
      <c r="BM214" s="5"/>
      <c r="BO214" s="5"/>
      <c r="BP214" s="5"/>
      <c r="BQ214" s="5"/>
      <c r="BR214" s="5"/>
      <c r="BS214" s="5"/>
      <c r="BU214" s="4"/>
      <c r="BV214" s="4"/>
      <c r="BW214" s="4"/>
      <c r="BX214" s="4"/>
    </row>
    <row r="215" spans="4:76" ht="15.75" customHeight="1">
      <c r="D215" s="5"/>
      <c r="E215" s="5"/>
      <c r="F215" s="5"/>
      <c r="G215" s="5"/>
      <c r="H215" s="5"/>
      <c r="I215" s="5"/>
      <c r="K215" s="5"/>
      <c r="L215" s="5"/>
      <c r="M215" s="5"/>
      <c r="N215" s="5"/>
      <c r="O215" s="5"/>
      <c r="P215" s="5"/>
      <c r="R215" s="5"/>
      <c r="S215" s="5"/>
      <c r="T215" s="5"/>
      <c r="U215" s="5"/>
      <c r="V215" s="5"/>
      <c r="W215" s="5"/>
      <c r="Y215" s="5"/>
      <c r="Z215" s="5"/>
      <c r="AA215" s="5"/>
      <c r="AB215" s="5"/>
      <c r="AC215" s="5"/>
      <c r="AD215" s="5"/>
      <c r="AF215" s="5"/>
      <c r="AG215" s="5"/>
      <c r="AH215" s="5"/>
      <c r="AI215" s="5"/>
      <c r="AJ215" s="5"/>
      <c r="AK215" s="5"/>
      <c r="AM215" s="5"/>
      <c r="AN215" s="5"/>
      <c r="AO215" s="5"/>
      <c r="AP215" s="5"/>
      <c r="AQ215" s="5"/>
      <c r="AR215" s="5"/>
      <c r="AT215" s="5"/>
      <c r="AU215" s="5"/>
      <c r="AV215" s="5"/>
      <c r="AW215" s="5"/>
      <c r="AX215" s="5"/>
      <c r="AY215" s="5"/>
      <c r="BA215" s="5"/>
      <c r="BB215" s="5"/>
      <c r="BC215" s="5"/>
      <c r="BD215" s="5"/>
      <c r="BE215" s="5"/>
      <c r="BF215" s="5"/>
      <c r="BH215" s="5"/>
      <c r="BI215" s="5"/>
      <c r="BJ215" s="5"/>
      <c r="BK215" s="5"/>
      <c r="BL215" s="5"/>
      <c r="BM215" s="5"/>
      <c r="BO215" s="5"/>
      <c r="BP215" s="5"/>
      <c r="BQ215" s="5"/>
      <c r="BR215" s="5"/>
      <c r="BS215" s="5"/>
      <c r="BU215" s="4"/>
      <c r="BV215" s="4"/>
      <c r="BW215" s="4"/>
      <c r="BX215" s="4"/>
    </row>
    <row r="216" spans="4:76" ht="15.75" customHeight="1">
      <c r="D216" s="5"/>
      <c r="E216" s="5"/>
      <c r="F216" s="5"/>
      <c r="G216" s="5"/>
      <c r="H216" s="5"/>
      <c r="I216" s="5"/>
      <c r="K216" s="5"/>
      <c r="L216" s="5"/>
      <c r="M216" s="5"/>
      <c r="N216" s="5"/>
      <c r="O216" s="5"/>
      <c r="P216" s="5"/>
      <c r="R216" s="5"/>
      <c r="S216" s="5"/>
      <c r="T216" s="5"/>
      <c r="U216" s="5"/>
      <c r="V216" s="5"/>
      <c r="W216" s="5"/>
      <c r="Y216" s="5"/>
      <c r="Z216" s="5"/>
      <c r="AA216" s="5"/>
      <c r="AB216" s="5"/>
      <c r="AC216" s="5"/>
      <c r="AD216" s="5"/>
      <c r="AF216" s="5"/>
      <c r="AG216" s="5"/>
      <c r="AH216" s="5"/>
      <c r="AI216" s="5"/>
      <c r="AJ216" s="5"/>
      <c r="AK216" s="5"/>
      <c r="AM216" s="5"/>
      <c r="AN216" s="5"/>
      <c r="AO216" s="5"/>
      <c r="AP216" s="5"/>
      <c r="AQ216" s="5"/>
      <c r="AR216" s="5"/>
      <c r="AT216" s="5"/>
      <c r="AU216" s="5"/>
      <c r="AV216" s="5"/>
      <c r="AW216" s="5"/>
      <c r="AX216" s="5"/>
      <c r="AY216" s="5"/>
      <c r="BA216" s="5"/>
      <c r="BB216" s="5"/>
      <c r="BC216" s="5"/>
      <c r="BD216" s="5"/>
      <c r="BE216" s="5"/>
      <c r="BF216" s="5"/>
      <c r="BH216" s="5"/>
      <c r="BI216" s="5"/>
      <c r="BJ216" s="5"/>
      <c r="BK216" s="5"/>
      <c r="BL216" s="5"/>
      <c r="BM216" s="5"/>
      <c r="BO216" s="5"/>
      <c r="BP216" s="5"/>
      <c r="BQ216" s="5"/>
      <c r="BR216" s="5"/>
      <c r="BS216" s="5"/>
      <c r="BU216" s="4"/>
      <c r="BV216" s="4"/>
      <c r="BW216" s="4"/>
      <c r="BX216" s="4"/>
    </row>
    <row r="217" spans="4:76" ht="15.75" customHeight="1">
      <c r="D217" s="5"/>
      <c r="E217" s="5"/>
      <c r="F217" s="5"/>
      <c r="G217" s="5"/>
      <c r="H217" s="5"/>
      <c r="I217" s="5"/>
      <c r="K217" s="5"/>
      <c r="L217" s="5"/>
      <c r="M217" s="5"/>
      <c r="N217" s="5"/>
      <c r="O217" s="5"/>
      <c r="P217" s="5"/>
      <c r="R217" s="5"/>
      <c r="S217" s="5"/>
      <c r="T217" s="5"/>
      <c r="U217" s="5"/>
      <c r="V217" s="5"/>
      <c r="W217" s="5"/>
      <c r="Y217" s="5"/>
      <c r="Z217" s="5"/>
      <c r="AA217" s="5"/>
      <c r="AB217" s="5"/>
      <c r="AC217" s="5"/>
      <c r="AD217" s="5"/>
      <c r="AF217" s="5"/>
      <c r="AG217" s="5"/>
      <c r="AH217" s="5"/>
      <c r="AI217" s="5"/>
      <c r="AJ217" s="5"/>
      <c r="AK217" s="5"/>
      <c r="AM217" s="5"/>
      <c r="AN217" s="5"/>
      <c r="AO217" s="5"/>
      <c r="AP217" s="5"/>
      <c r="AQ217" s="5"/>
      <c r="AR217" s="5"/>
      <c r="AT217" s="5"/>
      <c r="AU217" s="5"/>
      <c r="AV217" s="5"/>
      <c r="AW217" s="5"/>
      <c r="AX217" s="5"/>
      <c r="AY217" s="5"/>
      <c r="BA217" s="5"/>
      <c r="BB217" s="5"/>
      <c r="BC217" s="5"/>
      <c r="BD217" s="5"/>
      <c r="BE217" s="5"/>
      <c r="BF217" s="5"/>
      <c r="BH217" s="5"/>
      <c r="BI217" s="5"/>
      <c r="BJ217" s="5"/>
      <c r="BK217" s="5"/>
      <c r="BL217" s="5"/>
      <c r="BM217" s="5"/>
      <c r="BO217" s="5"/>
      <c r="BP217" s="5"/>
      <c r="BQ217" s="5"/>
      <c r="BR217" s="5"/>
      <c r="BS217" s="5"/>
      <c r="BU217" s="4"/>
      <c r="BV217" s="4"/>
      <c r="BW217" s="4"/>
      <c r="BX217" s="4"/>
    </row>
    <row r="218" spans="4:76" ht="15.75" customHeight="1">
      <c r="D218" s="5"/>
      <c r="E218" s="5"/>
      <c r="F218" s="5"/>
      <c r="G218" s="5"/>
      <c r="H218" s="5"/>
      <c r="I218" s="5"/>
      <c r="K218" s="5"/>
      <c r="L218" s="5"/>
      <c r="M218" s="5"/>
      <c r="N218" s="5"/>
      <c r="O218" s="5"/>
      <c r="P218" s="5"/>
      <c r="R218" s="5"/>
      <c r="S218" s="5"/>
      <c r="T218" s="5"/>
      <c r="U218" s="5"/>
      <c r="V218" s="5"/>
      <c r="W218" s="5"/>
      <c r="Y218" s="5"/>
      <c r="Z218" s="5"/>
      <c r="AA218" s="5"/>
      <c r="AB218" s="5"/>
      <c r="AC218" s="5"/>
      <c r="AD218" s="5"/>
      <c r="AF218" s="5"/>
      <c r="AG218" s="5"/>
      <c r="AH218" s="5"/>
      <c r="AI218" s="5"/>
      <c r="AJ218" s="5"/>
      <c r="AK218" s="5"/>
      <c r="AM218" s="5"/>
      <c r="AN218" s="5"/>
      <c r="AO218" s="5"/>
      <c r="AP218" s="5"/>
      <c r="AQ218" s="5"/>
      <c r="AR218" s="5"/>
      <c r="AT218" s="5"/>
      <c r="AU218" s="5"/>
      <c r="AV218" s="5"/>
      <c r="AW218" s="5"/>
      <c r="AX218" s="5"/>
      <c r="AY218" s="5"/>
      <c r="BA218" s="5"/>
      <c r="BB218" s="5"/>
      <c r="BC218" s="5"/>
      <c r="BD218" s="5"/>
      <c r="BE218" s="5"/>
      <c r="BF218" s="5"/>
      <c r="BH218" s="5"/>
      <c r="BI218" s="5"/>
      <c r="BJ218" s="5"/>
      <c r="BK218" s="5"/>
      <c r="BL218" s="5"/>
      <c r="BM218" s="5"/>
      <c r="BO218" s="5"/>
      <c r="BP218" s="5"/>
      <c r="BQ218" s="5"/>
      <c r="BR218" s="5"/>
      <c r="BS218" s="5"/>
      <c r="BU218" s="4"/>
      <c r="BV218" s="4"/>
      <c r="BW218" s="4"/>
      <c r="BX218" s="4"/>
    </row>
    <row r="219" spans="4:76" ht="15.75" customHeight="1">
      <c r="D219" s="5"/>
      <c r="E219" s="5"/>
      <c r="F219" s="5"/>
      <c r="G219" s="5"/>
      <c r="H219" s="5"/>
      <c r="I219" s="5"/>
      <c r="K219" s="5"/>
      <c r="L219" s="5"/>
      <c r="M219" s="5"/>
      <c r="N219" s="5"/>
      <c r="O219" s="5"/>
      <c r="P219" s="5"/>
      <c r="R219" s="5"/>
      <c r="S219" s="5"/>
      <c r="T219" s="5"/>
      <c r="U219" s="5"/>
      <c r="V219" s="5"/>
      <c r="W219" s="5"/>
      <c r="Y219" s="5"/>
      <c r="Z219" s="5"/>
      <c r="AA219" s="5"/>
      <c r="AB219" s="5"/>
      <c r="AC219" s="5"/>
      <c r="AD219" s="5"/>
      <c r="AF219" s="5"/>
      <c r="AG219" s="5"/>
      <c r="AH219" s="5"/>
      <c r="AI219" s="5"/>
      <c r="AJ219" s="5"/>
      <c r="AK219" s="5"/>
      <c r="AM219" s="5"/>
      <c r="AN219" s="5"/>
      <c r="AO219" s="5"/>
      <c r="AP219" s="5"/>
      <c r="AQ219" s="5"/>
      <c r="AR219" s="5"/>
      <c r="AT219" s="5"/>
      <c r="AU219" s="5"/>
      <c r="AV219" s="5"/>
      <c r="AW219" s="5"/>
      <c r="AX219" s="5"/>
      <c r="AY219" s="5"/>
      <c r="BA219" s="5"/>
      <c r="BB219" s="5"/>
      <c r="BC219" s="5"/>
      <c r="BD219" s="5"/>
      <c r="BE219" s="5"/>
      <c r="BF219" s="5"/>
      <c r="BH219" s="5"/>
      <c r="BI219" s="5"/>
      <c r="BJ219" s="5"/>
      <c r="BK219" s="5"/>
      <c r="BL219" s="5"/>
      <c r="BM219" s="5"/>
      <c r="BO219" s="5"/>
      <c r="BP219" s="5"/>
      <c r="BQ219" s="5"/>
      <c r="BR219" s="5"/>
      <c r="BS219" s="5"/>
      <c r="BU219" s="4"/>
      <c r="BV219" s="4"/>
      <c r="BW219" s="4"/>
      <c r="BX219" s="4"/>
    </row>
    <row r="220" spans="4:76" ht="15.75" customHeight="1">
      <c r="D220" s="5"/>
      <c r="E220" s="5"/>
      <c r="F220" s="5"/>
      <c r="G220" s="5"/>
      <c r="H220" s="5"/>
      <c r="I220" s="5"/>
      <c r="K220" s="5"/>
      <c r="L220" s="5"/>
      <c r="M220" s="5"/>
      <c r="N220" s="5"/>
      <c r="O220" s="5"/>
      <c r="P220" s="5"/>
      <c r="R220" s="5"/>
      <c r="S220" s="5"/>
      <c r="T220" s="5"/>
      <c r="U220" s="5"/>
      <c r="V220" s="5"/>
      <c r="W220" s="5"/>
      <c r="Y220" s="5"/>
      <c r="Z220" s="5"/>
      <c r="AA220" s="5"/>
      <c r="AB220" s="5"/>
      <c r="AC220" s="5"/>
      <c r="AD220" s="5"/>
      <c r="AF220" s="5"/>
      <c r="AG220" s="5"/>
      <c r="AH220" s="5"/>
      <c r="AI220" s="5"/>
      <c r="AJ220" s="5"/>
      <c r="AK220" s="5"/>
      <c r="AM220" s="5"/>
      <c r="AN220" s="5"/>
      <c r="AO220" s="5"/>
      <c r="AP220" s="5"/>
      <c r="AQ220" s="5"/>
      <c r="AR220" s="5"/>
      <c r="AT220" s="5"/>
      <c r="AU220" s="5"/>
      <c r="AV220" s="5"/>
      <c r="AW220" s="5"/>
      <c r="AX220" s="5"/>
      <c r="AY220" s="5"/>
      <c r="BA220" s="5"/>
      <c r="BB220" s="5"/>
      <c r="BC220" s="5"/>
      <c r="BD220" s="5"/>
      <c r="BE220" s="5"/>
      <c r="BF220" s="5"/>
      <c r="BH220" s="5"/>
      <c r="BI220" s="5"/>
      <c r="BJ220" s="5"/>
      <c r="BK220" s="5"/>
      <c r="BL220" s="5"/>
      <c r="BM220" s="5"/>
      <c r="BO220" s="5"/>
      <c r="BP220" s="5"/>
      <c r="BQ220" s="5"/>
      <c r="BR220" s="5"/>
      <c r="BS220" s="5"/>
      <c r="BU220" s="4"/>
      <c r="BV220" s="4"/>
      <c r="BW220" s="4"/>
      <c r="BX220" s="4"/>
    </row>
    <row r="221" spans="4:76" ht="15.75" customHeight="1">
      <c r="D221" s="5"/>
      <c r="E221" s="5"/>
      <c r="F221" s="5"/>
      <c r="G221" s="5"/>
      <c r="H221" s="5"/>
      <c r="I221" s="5"/>
      <c r="K221" s="5"/>
      <c r="L221" s="5"/>
      <c r="M221" s="5"/>
      <c r="N221" s="5"/>
      <c r="O221" s="5"/>
      <c r="P221" s="5"/>
      <c r="R221" s="5"/>
      <c r="S221" s="5"/>
      <c r="T221" s="5"/>
      <c r="U221" s="5"/>
      <c r="V221" s="5"/>
      <c r="W221" s="5"/>
      <c r="Y221" s="5"/>
      <c r="Z221" s="5"/>
      <c r="AA221" s="5"/>
      <c r="AB221" s="5"/>
      <c r="AC221" s="5"/>
      <c r="AD221" s="5"/>
      <c r="AF221" s="5"/>
      <c r="AG221" s="5"/>
      <c r="AH221" s="5"/>
      <c r="AI221" s="5"/>
      <c r="AJ221" s="5"/>
      <c r="AK221" s="5"/>
      <c r="AM221" s="5"/>
      <c r="AN221" s="5"/>
      <c r="AO221" s="5"/>
      <c r="AP221" s="5"/>
      <c r="AQ221" s="5"/>
      <c r="AR221" s="5"/>
      <c r="AT221" s="5"/>
      <c r="AU221" s="5"/>
      <c r="AV221" s="5"/>
      <c r="AW221" s="5"/>
      <c r="AX221" s="5"/>
      <c r="AY221" s="5"/>
      <c r="BA221" s="5"/>
      <c r="BB221" s="5"/>
      <c r="BC221" s="5"/>
      <c r="BD221" s="5"/>
      <c r="BE221" s="5"/>
      <c r="BF221" s="5"/>
      <c r="BH221" s="5"/>
      <c r="BI221" s="5"/>
      <c r="BJ221" s="5"/>
      <c r="BK221" s="5"/>
      <c r="BL221" s="5"/>
      <c r="BM221" s="5"/>
      <c r="BO221" s="5"/>
      <c r="BP221" s="5"/>
      <c r="BQ221" s="5"/>
      <c r="BR221" s="5"/>
      <c r="BS221" s="5"/>
      <c r="BU221" s="4"/>
      <c r="BV221" s="4"/>
      <c r="BW221" s="4"/>
      <c r="BX221" s="4"/>
    </row>
    <row r="222" spans="4:76" ht="15.75" customHeight="1">
      <c r="D222" s="5"/>
      <c r="E222" s="5"/>
      <c r="F222" s="5"/>
      <c r="G222" s="5"/>
      <c r="H222" s="5"/>
      <c r="I222" s="5"/>
      <c r="K222" s="5"/>
      <c r="L222" s="5"/>
      <c r="M222" s="5"/>
      <c r="N222" s="5"/>
      <c r="O222" s="5"/>
      <c r="P222" s="5"/>
      <c r="R222" s="5"/>
      <c r="S222" s="5"/>
      <c r="T222" s="5"/>
      <c r="U222" s="5"/>
      <c r="V222" s="5"/>
      <c r="W222" s="5"/>
      <c r="Y222" s="5"/>
      <c r="Z222" s="5"/>
      <c r="AA222" s="5"/>
      <c r="AB222" s="5"/>
      <c r="AC222" s="5"/>
      <c r="AD222" s="5"/>
      <c r="AF222" s="5"/>
      <c r="AG222" s="5"/>
      <c r="AH222" s="5"/>
      <c r="AI222" s="5"/>
      <c r="AJ222" s="5"/>
      <c r="AK222" s="5"/>
      <c r="AM222" s="5"/>
      <c r="AN222" s="5"/>
      <c r="AO222" s="5"/>
      <c r="AP222" s="5"/>
      <c r="AQ222" s="5"/>
      <c r="AR222" s="5"/>
      <c r="AT222" s="5"/>
      <c r="AU222" s="5"/>
      <c r="AV222" s="5"/>
      <c r="AW222" s="5"/>
      <c r="AX222" s="5"/>
      <c r="AY222" s="5"/>
      <c r="BA222" s="5"/>
      <c r="BB222" s="5"/>
      <c r="BC222" s="5"/>
      <c r="BD222" s="5"/>
      <c r="BE222" s="5"/>
      <c r="BF222" s="5"/>
      <c r="BH222" s="5"/>
      <c r="BI222" s="5"/>
      <c r="BJ222" s="5"/>
      <c r="BK222" s="5"/>
      <c r="BL222" s="5"/>
      <c r="BM222" s="5"/>
      <c r="BO222" s="5"/>
      <c r="BP222" s="5"/>
      <c r="BQ222" s="5"/>
      <c r="BR222" s="5"/>
      <c r="BS222" s="5"/>
      <c r="BU222" s="4"/>
      <c r="BV222" s="4"/>
      <c r="BW222" s="4"/>
      <c r="BX222" s="4"/>
    </row>
    <row r="223" spans="4:76" ht="15.75" customHeight="1">
      <c r="D223" s="5"/>
      <c r="E223" s="5"/>
      <c r="F223" s="5"/>
      <c r="G223" s="5"/>
      <c r="H223" s="5"/>
      <c r="I223" s="5"/>
      <c r="K223" s="5"/>
      <c r="L223" s="5"/>
      <c r="M223" s="5"/>
      <c r="N223" s="5"/>
      <c r="O223" s="5"/>
      <c r="P223" s="5"/>
      <c r="R223" s="5"/>
      <c r="S223" s="5"/>
      <c r="T223" s="5"/>
      <c r="U223" s="5"/>
      <c r="V223" s="5"/>
      <c r="W223" s="5"/>
      <c r="Y223" s="5"/>
      <c r="Z223" s="5"/>
      <c r="AA223" s="5"/>
      <c r="AB223" s="5"/>
      <c r="AC223" s="5"/>
      <c r="AD223" s="5"/>
      <c r="AF223" s="5"/>
      <c r="AG223" s="5"/>
      <c r="AH223" s="5"/>
      <c r="AI223" s="5"/>
      <c r="AJ223" s="5"/>
      <c r="AK223" s="5"/>
      <c r="AM223" s="5"/>
      <c r="AN223" s="5"/>
      <c r="AO223" s="5"/>
      <c r="AP223" s="5"/>
      <c r="AQ223" s="5"/>
      <c r="AR223" s="5"/>
      <c r="AT223" s="5"/>
      <c r="AU223" s="5"/>
      <c r="AV223" s="5"/>
      <c r="AW223" s="5"/>
      <c r="AX223" s="5"/>
      <c r="AY223" s="5"/>
      <c r="BA223" s="5"/>
      <c r="BB223" s="5"/>
      <c r="BC223" s="5"/>
      <c r="BD223" s="5"/>
      <c r="BE223" s="5"/>
      <c r="BF223" s="5"/>
      <c r="BH223" s="5"/>
      <c r="BI223" s="5"/>
      <c r="BJ223" s="5"/>
      <c r="BK223" s="5"/>
      <c r="BL223" s="5"/>
      <c r="BM223" s="5"/>
      <c r="BO223" s="5"/>
      <c r="BP223" s="5"/>
      <c r="BQ223" s="5"/>
      <c r="BR223" s="5"/>
      <c r="BS223" s="5"/>
      <c r="BU223" s="4"/>
      <c r="BV223" s="4"/>
      <c r="BW223" s="4"/>
      <c r="BX223" s="4"/>
    </row>
    <row r="224" spans="4:76" ht="15.75" customHeight="1">
      <c r="D224" s="5"/>
      <c r="E224" s="5"/>
      <c r="F224" s="5"/>
      <c r="G224" s="5"/>
      <c r="H224" s="5"/>
      <c r="I224" s="5"/>
      <c r="K224" s="5"/>
      <c r="L224" s="5"/>
      <c r="M224" s="5"/>
      <c r="N224" s="5"/>
      <c r="O224" s="5"/>
      <c r="P224" s="5"/>
      <c r="R224" s="5"/>
      <c r="S224" s="5"/>
      <c r="T224" s="5"/>
      <c r="U224" s="5"/>
      <c r="V224" s="5"/>
      <c r="W224" s="5"/>
      <c r="Y224" s="5"/>
      <c r="Z224" s="5"/>
      <c r="AA224" s="5"/>
      <c r="AB224" s="5"/>
      <c r="AC224" s="5"/>
      <c r="AD224" s="5"/>
      <c r="AF224" s="5"/>
      <c r="AG224" s="5"/>
      <c r="AH224" s="5"/>
      <c r="AI224" s="5"/>
      <c r="AJ224" s="5"/>
      <c r="AK224" s="5"/>
      <c r="AM224" s="5"/>
      <c r="AN224" s="5"/>
      <c r="AO224" s="5"/>
      <c r="AP224" s="5"/>
      <c r="AQ224" s="5"/>
      <c r="AR224" s="5"/>
      <c r="AT224" s="5"/>
      <c r="AU224" s="5"/>
      <c r="AV224" s="5"/>
      <c r="AW224" s="5"/>
      <c r="AX224" s="5"/>
      <c r="AY224" s="5"/>
      <c r="BA224" s="5"/>
      <c r="BB224" s="5"/>
      <c r="BC224" s="5"/>
      <c r="BD224" s="5"/>
      <c r="BE224" s="5"/>
      <c r="BF224" s="5"/>
      <c r="BH224" s="5"/>
      <c r="BI224" s="5"/>
      <c r="BJ224" s="5"/>
      <c r="BK224" s="5"/>
      <c r="BL224" s="5"/>
      <c r="BM224" s="5"/>
      <c r="BO224" s="5"/>
      <c r="BP224" s="5"/>
      <c r="BQ224" s="5"/>
      <c r="BR224" s="5"/>
      <c r="BS224" s="5"/>
      <c r="BU224" s="4"/>
      <c r="BV224" s="4"/>
      <c r="BW224" s="4"/>
      <c r="BX224" s="4"/>
    </row>
    <row r="225" spans="4:76" ht="15.75" customHeight="1">
      <c r="D225" s="5"/>
      <c r="E225" s="5"/>
      <c r="F225" s="5"/>
      <c r="G225" s="5"/>
      <c r="H225" s="5"/>
      <c r="I225" s="5"/>
      <c r="K225" s="5"/>
      <c r="L225" s="5"/>
      <c r="M225" s="5"/>
      <c r="N225" s="5"/>
      <c r="O225" s="5"/>
      <c r="P225" s="5"/>
      <c r="R225" s="5"/>
      <c r="S225" s="5"/>
      <c r="T225" s="5"/>
      <c r="U225" s="5"/>
      <c r="V225" s="5"/>
      <c r="W225" s="5"/>
      <c r="Y225" s="5"/>
      <c r="Z225" s="5"/>
      <c r="AA225" s="5"/>
      <c r="AB225" s="5"/>
      <c r="AC225" s="5"/>
      <c r="AD225" s="5"/>
      <c r="AF225" s="5"/>
      <c r="AG225" s="5"/>
      <c r="AH225" s="5"/>
      <c r="AI225" s="5"/>
      <c r="AJ225" s="5"/>
      <c r="AK225" s="5"/>
      <c r="AM225" s="5"/>
      <c r="AN225" s="5"/>
      <c r="AO225" s="5"/>
      <c r="AP225" s="5"/>
      <c r="AQ225" s="5"/>
      <c r="AR225" s="5"/>
      <c r="AT225" s="5"/>
      <c r="AU225" s="5"/>
      <c r="AV225" s="5"/>
      <c r="AW225" s="5"/>
      <c r="AX225" s="5"/>
      <c r="AY225" s="5"/>
      <c r="BA225" s="5"/>
      <c r="BB225" s="5"/>
      <c r="BC225" s="5"/>
      <c r="BD225" s="5"/>
      <c r="BE225" s="5"/>
      <c r="BF225" s="5"/>
      <c r="BH225" s="5"/>
      <c r="BI225" s="5"/>
      <c r="BJ225" s="5"/>
      <c r="BK225" s="5"/>
      <c r="BL225" s="5"/>
      <c r="BM225" s="5"/>
      <c r="BO225" s="5"/>
      <c r="BP225" s="5"/>
      <c r="BQ225" s="5"/>
      <c r="BR225" s="5"/>
      <c r="BS225" s="5"/>
      <c r="BU225" s="4"/>
      <c r="BV225" s="4"/>
      <c r="BW225" s="4"/>
      <c r="BX225" s="4"/>
    </row>
    <row r="226" spans="4:76" ht="15.75" customHeight="1">
      <c r="D226" s="5"/>
      <c r="E226" s="5"/>
      <c r="F226" s="5"/>
      <c r="G226" s="5"/>
      <c r="H226" s="5"/>
      <c r="I226" s="5"/>
      <c r="K226" s="5"/>
      <c r="L226" s="5"/>
      <c r="M226" s="5"/>
      <c r="N226" s="5"/>
      <c r="O226" s="5"/>
      <c r="P226" s="5"/>
      <c r="R226" s="5"/>
      <c r="S226" s="5"/>
      <c r="T226" s="5"/>
      <c r="U226" s="5"/>
      <c r="V226" s="5"/>
      <c r="W226" s="5"/>
      <c r="Y226" s="5"/>
      <c r="Z226" s="5"/>
      <c r="AA226" s="5"/>
      <c r="AB226" s="5"/>
      <c r="AC226" s="5"/>
      <c r="AD226" s="5"/>
      <c r="AF226" s="5"/>
      <c r="AG226" s="5"/>
      <c r="AH226" s="5"/>
      <c r="AI226" s="5"/>
      <c r="AJ226" s="5"/>
      <c r="AK226" s="5"/>
      <c r="AM226" s="5"/>
      <c r="AN226" s="5"/>
      <c r="AO226" s="5"/>
      <c r="AP226" s="5"/>
      <c r="AQ226" s="5"/>
      <c r="AR226" s="5"/>
      <c r="AT226" s="5"/>
      <c r="AU226" s="5"/>
      <c r="AV226" s="5"/>
      <c r="AW226" s="5"/>
      <c r="AX226" s="5"/>
      <c r="AY226" s="5"/>
      <c r="BA226" s="5"/>
      <c r="BB226" s="5"/>
      <c r="BC226" s="5"/>
      <c r="BD226" s="5"/>
      <c r="BE226" s="5"/>
      <c r="BF226" s="5"/>
      <c r="BH226" s="5"/>
      <c r="BI226" s="5"/>
      <c r="BJ226" s="5"/>
      <c r="BK226" s="5"/>
      <c r="BL226" s="5"/>
      <c r="BM226" s="5"/>
      <c r="BO226" s="5"/>
      <c r="BP226" s="5"/>
      <c r="BQ226" s="5"/>
      <c r="BR226" s="5"/>
      <c r="BS226" s="5"/>
      <c r="BU226" s="4"/>
      <c r="BV226" s="4"/>
      <c r="BW226" s="4"/>
      <c r="BX226" s="4"/>
    </row>
    <row r="227" spans="4:76" ht="15.75" customHeight="1">
      <c r="D227" s="5"/>
      <c r="E227" s="5"/>
      <c r="F227" s="5"/>
      <c r="G227" s="5"/>
      <c r="H227" s="5"/>
      <c r="I227" s="5"/>
      <c r="K227" s="5"/>
      <c r="L227" s="5"/>
      <c r="M227" s="5"/>
      <c r="N227" s="5"/>
      <c r="O227" s="5"/>
      <c r="P227" s="5"/>
      <c r="R227" s="5"/>
      <c r="S227" s="5"/>
      <c r="T227" s="5"/>
      <c r="U227" s="5"/>
      <c r="V227" s="5"/>
      <c r="W227" s="5"/>
      <c r="Y227" s="5"/>
      <c r="Z227" s="5"/>
      <c r="AA227" s="5"/>
      <c r="AB227" s="5"/>
      <c r="AC227" s="5"/>
      <c r="AD227" s="5"/>
      <c r="AF227" s="5"/>
      <c r="AG227" s="5"/>
      <c r="AH227" s="5"/>
      <c r="AI227" s="5"/>
      <c r="AJ227" s="5"/>
      <c r="AK227" s="5"/>
      <c r="AM227" s="5"/>
      <c r="AN227" s="5"/>
      <c r="AO227" s="5"/>
      <c r="AP227" s="5"/>
      <c r="AQ227" s="5"/>
      <c r="AR227" s="5"/>
      <c r="AT227" s="5"/>
      <c r="AU227" s="5"/>
      <c r="AV227" s="5"/>
      <c r="AW227" s="5"/>
      <c r="AX227" s="5"/>
      <c r="AY227" s="5"/>
      <c r="BA227" s="5"/>
      <c r="BB227" s="5"/>
      <c r="BC227" s="5"/>
      <c r="BD227" s="5"/>
      <c r="BE227" s="5"/>
      <c r="BF227" s="5"/>
      <c r="BH227" s="5"/>
      <c r="BI227" s="5"/>
      <c r="BJ227" s="5"/>
      <c r="BK227" s="5"/>
      <c r="BL227" s="5"/>
      <c r="BM227" s="5"/>
      <c r="BO227" s="5"/>
      <c r="BP227" s="5"/>
      <c r="BQ227" s="5"/>
      <c r="BR227" s="5"/>
      <c r="BS227" s="5"/>
      <c r="BU227" s="4"/>
      <c r="BV227" s="4"/>
      <c r="BW227" s="4"/>
      <c r="BX227" s="4"/>
    </row>
    <row r="228" spans="4:76" ht="15.75" customHeight="1">
      <c r="D228" s="5"/>
      <c r="E228" s="5"/>
      <c r="F228" s="5"/>
      <c r="G228" s="5"/>
      <c r="H228" s="5"/>
      <c r="I228" s="5"/>
      <c r="K228" s="5"/>
      <c r="L228" s="5"/>
      <c r="M228" s="5"/>
      <c r="N228" s="5"/>
      <c r="O228" s="5"/>
      <c r="P228" s="5"/>
      <c r="R228" s="5"/>
      <c r="S228" s="5"/>
      <c r="T228" s="5"/>
      <c r="U228" s="5"/>
      <c r="V228" s="5"/>
      <c r="W228" s="5"/>
      <c r="Y228" s="5"/>
      <c r="Z228" s="5"/>
      <c r="AA228" s="5"/>
      <c r="AB228" s="5"/>
      <c r="AC228" s="5"/>
      <c r="AD228" s="5"/>
      <c r="AF228" s="5"/>
      <c r="AG228" s="5"/>
      <c r="AH228" s="5"/>
      <c r="AI228" s="5"/>
      <c r="AJ228" s="5"/>
      <c r="AK228" s="5"/>
      <c r="AM228" s="5"/>
      <c r="AN228" s="5"/>
      <c r="AO228" s="5"/>
      <c r="AP228" s="5"/>
      <c r="AQ228" s="5"/>
      <c r="AR228" s="5"/>
      <c r="AT228" s="5"/>
      <c r="AU228" s="5"/>
      <c r="AV228" s="5"/>
      <c r="AW228" s="5"/>
      <c r="AX228" s="5"/>
      <c r="AY228" s="5"/>
      <c r="BA228" s="5"/>
      <c r="BB228" s="5"/>
      <c r="BC228" s="5"/>
      <c r="BD228" s="5"/>
      <c r="BE228" s="5"/>
      <c r="BF228" s="5"/>
      <c r="BH228" s="5"/>
      <c r="BI228" s="5"/>
      <c r="BJ228" s="5"/>
      <c r="BK228" s="5"/>
      <c r="BL228" s="5"/>
      <c r="BM228" s="5"/>
      <c r="BO228" s="5"/>
      <c r="BP228" s="5"/>
      <c r="BQ228" s="5"/>
      <c r="BR228" s="5"/>
      <c r="BS228" s="5"/>
      <c r="BU228" s="4"/>
      <c r="BV228" s="4"/>
      <c r="BW228" s="4"/>
      <c r="BX228" s="4"/>
    </row>
    <row r="229" spans="4:76" ht="15.75" customHeight="1">
      <c r="D229" s="5"/>
      <c r="E229" s="5"/>
      <c r="F229" s="5"/>
      <c r="G229" s="5"/>
      <c r="H229" s="5"/>
      <c r="I229" s="5"/>
      <c r="K229" s="5"/>
      <c r="L229" s="5"/>
      <c r="M229" s="5"/>
      <c r="N229" s="5"/>
      <c r="O229" s="5"/>
      <c r="P229" s="5"/>
      <c r="R229" s="5"/>
      <c r="S229" s="5"/>
      <c r="T229" s="5"/>
      <c r="U229" s="5"/>
      <c r="V229" s="5"/>
      <c r="W229" s="5"/>
      <c r="Y229" s="5"/>
      <c r="Z229" s="5"/>
      <c r="AA229" s="5"/>
      <c r="AB229" s="5"/>
      <c r="AC229" s="5"/>
      <c r="AD229" s="5"/>
      <c r="AF229" s="5"/>
      <c r="AG229" s="5"/>
      <c r="AH229" s="5"/>
      <c r="AI229" s="5"/>
      <c r="AJ229" s="5"/>
      <c r="AK229" s="5"/>
      <c r="AM229" s="5"/>
      <c r="AN229" s="5"/>
      <c r="AO229" s="5"/>
      <c r="AP229" s="5"/>
      <c r="AQ229" s="5"/>
      <c r="AR229" s="5"/>
      <c r="AT229" s="5"/>
      <c r="AU229" s="5"/>
      <c r="AV229" s="5"/>
      <c r="AW229" s="5"/>
      <c r="AX229" s="5"/>
      <c r="AY229" s="5"/>
      <c r="BA229" s="5"/>
      <c r="BB229" s="5"/>
      <c r="BC229" s="5"/>
      <c r="BD229" s="5"/>
      <c r="BE229" s="5"/>
      <c r="BF229" s="5"/>
      <c r="BH229" s="5"/>
      <c r="BI229" s="5"/>
      <c r="BJ229" s="5"/>
      <c r="BK229" s="5"/>
      <c r="BL229" s="5"/>
      <c r="BM229" s="5"/>
      <c r="BO229" s="5"/>
      <c r="BP229" s="5"/>
      <c r="BQ229" s="5"/>
      <c r="BR229" s="5"/>
      <c r="BS229" s="5"/>
      <c r="BU229" s="4"/>
      <c r="BV229" s="4"/>
      <c r="BW229" s="4"/>
      <c r="BX229" s="4"/>
    </row>
    <row r="230" spans="4:76" ht="15.75" customHeight="1">
      <c r="D230" s="5"/>
      <c r="E230" s="5"/>
      <c r="F230" s="5"/>
      <c r="G230" s="5"/>
      <c r="H230" s="5"/>
      <c r="I230" s="5"/>
      <c r="K230" s="5"/>
      <c r="L230" s="5"/>
      <c r="M230" s="5"/>
      <c r="N230" s="5"/>
      <c r="O230" s="5"/>
      <c r="P230" s="5"/>
      <c r="R230" s="5"/>
      <c r="S230" s="5"/>
      <c r="T230" s="5"/>
      <c r="U230" s="5"/>
      <c r="V230" s="5"/>
      <c r="W230" s="5"/>
      <c r="Y230" s="5"/>
      <c r="Z230" s="5"/>
      <c r="AA230" s="5"/>
      <c r="AB230" s="5"/>
      <c r="AC230" s="5"/>
      <c r="AD230" s="5"/>
      <c r="AF230" s="5"/>
      <c r="AG230" s="5"/>
      <c r="AH230" s="5"/>
      <c r="AI230" s="5"/>
      <c r="AJ230" s="5"/>
      <c r="AK230" s="5"/>
      <c r="AM230" s="5"/>
      <c r="AN230" s="5"/>
      <c r="AO230" s="5"/>
      <c r="AP230" s="5"/>
      <c r="AQ230" s="5"/>
      <c r="AR230" s="5"/>
      <c r="AT230" s="5"/>
      <c r="AU230" s="5"/>
      <c r="AV230" s="5"/>
      <c r="AW230" s="5"/>
      <c r="AX230" s="5"/>
      <c r="AY230" s="5"/>
      <c r="BA230" s="5"/>
      <c r="BB230" s="5"/>
      <c r="BC230" s="5"/>
      <c r="BD230" s="5"/>
      <c r="BE230" s="5"/>
      <c r="BF230" s="5"/>
      <c r="BH230" s="5"/>
      <c r="BI230" s="5"/>
      <c r="BJ230" s="5"/>
      <c r="BK230" s="5"/>
      <c r="BL230" s="5"/>
      <c r="BM230" s="5"/>
      <c r="BO230" s="5"/>
      <c r="BP230" s="5"/>
      <c r="BQ230" s="5"/>
      <c r="BR230" s="5"/>
      <c r="BS230" s="5"/>
      <c r="BU230" s="4"/>
      <c r="BV230" s="4"/>
      <c r="BW230" s="4"/>
      <c r="BX230" s="4"/>
    </row>
    <row r="231" spans="4:76" ht="15.75" customHeight="1">
      <c r="D231" s="5"/>
      <c r="E231" s="5"/>
      <c r="F231" s="5"/>
      <c r="G231" s="5"/>
      <c r="H231" s="5"/>
      <c r="I231" s="5"/>
      <c r="K231" s="5"/>
      <c r="L231" s="5"/>
      <c r="M231" s="5"/>
      <c r="N231" s="5"/>
      <c r="O231" s="5"/>
      <c r="P231" s="5"/>
      <c r="R231" s="5"/>
      <c r="S231" s="5"/>
      <c r="T231" s="5"/>
      <c r="U231" s="5"/>
      <c r="V231" s="5"/>
      <c r="W231" s="5"/>
      <c r="Y231" s="5"/>
      <c r="Z231" s="5"/>
      <c r="AA231" s="5"/>
      <c r="AB231" s="5"/>
      <c r="AC231" s="5"/>
      <c r="AD231" s="5"/>
      <c r="AF231" s="5"/>
      <c r="AG231" s="5"/>
      <c r="AH231" s="5"/>
      <c r="AI231" s="5"/>
      <c r="AJ231" s="5"/>
      <c r="AK231" s="5"/>
      <c r="AM231" s="5"/>
      <c r="AN231" s="5"/>
      <c r="AO231" s="5"/>
      <c r="AP231" s="5"/>
      <c r="AQ231" s="5"/>
      <c r="AR231" s="5"/>
      <c r="AT231" s="5"/>
      <c r="AU231" s="5"/>
      <c r="AV231" s="5"/>
      <c r="AW231" s="5"/>
      <c r="AX231" s="5"/>
      <c r="AY231" s="5"/>
      <c r="BA231" s="5"/>
      <c r="BB231" s="5"/>
      <c r="BC231" s="5"/>
      <c r="BD231" s="5"/>
      <c r="BE231" s="5"/>
      <c r="BF231" s="5"/>
      <c r="BH231" s="5"/>
      <c r="BI231" s="5"/>
      <c r="BJ231" s="5"/>
      <c r="BK231" s="5"/>
      <c r="BL231" s="5"/>
      <c r="BM231" s="5"/>
      <c r="BO231" s="5"/>
      <c r="BP231" s="5"/>
      <c r="BQ231" s="5"/>
      <c r="BR231" s="5"/>
      <c r="BS231" s="5"/>
      <c r="BU231" s="4"/>
      <c r="BV231" s="4"/>
      <c r="BW231" s="4"/>
      <c r="BX231" s="4"/>
    </row>
    <row r="232" spans="4:76" ht="15.75" customHeight="1">
      <c r="D232" s="5"/>
      <c r="E232" s="5"/>
      <c r="F232" s="5"/>
      <c r="G232" s="5"/>
      <c r="H232" s="5"/>
      <c r="I232" s="5"/>
      <c r="K232" s="5"/>
      <c r="L232" s="5"/>
      <c r="M232" s="5"/>
      <c r="N232" s="5"/>
      <c r="O232" s="5"/>
      <c r="P232" s="5"/>
      <c r="R232" s="5"/>
      <c r="S232" s="5"/>
      <c r="T232" s="5"/>
      <c r="U232" s="5"/>
      <c r="V232" s="5"/>
      <c r="W232" s="5"/>
      <c r="Y232" s="5"/>
      <c r="Z232" s="5"/>
      <c r="AA232" s="5"/>
      <c r="AB232" s="5"/>
      <c r="AC232" s="5"/>
      <c r="AD232" s="5"/>
      <c r="AF232" s="5"/>
      <c r="AG232" s="5"/>
      <c r="AH232" s="5"/>
      <c r="AI232" s="5"/>
      <c r="AJ232" s="5"/>
      <c r="AK232" s="5"/>
      <c r="AM232" s="5"/>
      <c r="AN232" s="5"/>
      <c r="AO232" s="5"/>
      <c r="AP232" s="5"/>
      <c r="AQ232" s="5"/>
      <c r="AR232" s="5"/>
      <c r="AT232" s="5"/>
      <c r="AU232" s="5"/>
      <c r="AV232" s="5"/>
      <c r="AW232" s="5"/>
      <c r="AX232" s="5"/>
      <c r="AY232" s="5"/>
      <c r="BA232" s="5"/>
      <c r="BB232" s="5"/>
      <c r="BC232" s="5"/>
      <c r="BD232" s="5"/>
      <c r="BE232" s="5"/>
      <c r="BF232" s="5"/>
      <c r="BH232" s="5"/>
      <c r="BI232" s="5"/>
      <c r="BJ232" s="5"/>
      <c r="BK232" s="5"/>
      <c r="BL232" s="5"/>
      <c r="BM232" s="5"/>
      <c r="BO232" s="5"/>
      <c r="BP232" s="5"/>
      <c r="BQ232" s="5"/>
      <c r="BR232" s="5"/>
      <c r="BS232" s="5"/>
      <c r="BU232" s="4"/>
      <c r="BV232" s="4"/>
      <c r="BW232" s="4"/>
      <c r="BX232" s="4"/>
    </row>
    <row r="233" spans="4:76" ht="15.75" customHeight="1">
      <c r="D233" s="5"/>
      <c r="E233" s="5"/>
      <c r="F233" s="5"/>
      <c r="G233" s="5"/>
      <c r="H233" s="5"/>
      <c r="I233" s="5"/>
      <c r="K233" s="5"/>
      <c r="L233" s="5"/>
      <c r="M233" s="5"/>
      <c r="N233" s="5"/>
      <c r="O233" s="5"/>
      <c r="P233" s="5"/>
      <c r="R233" s="5"/>
      <c r="S233" s="5"/>
      <c r="T233" s="5"/>
      <c r="U233" s="5"/>
      <c r="V233" s="5"/>
      <c r="W233" s="5"/>
      <c r="Y233" s="5"/>
      <c r="Z233" s="5"/>
      <c r="AA233" s="5"/>
      <c r="AB233" s="5"/>
      <c r="AC233" s="5"/>
      <c r="AD233" s="5"/>
      <c r="AF233" s="5"/>
      <c r="AG233" s="5"/>
      <c r="AH233" s="5"/>
      <c r="AI233" s="5"/>
      <c r="AJ233" s="5"/>
      <c r="AK233" s="5"/>
      <c r="AM233" s="5"/>
      <c r="AN233" s="5"/>
      <c r="AO233" s="5"/>
      <c r="AP233" s="5"/>
      <c r="AQ233" s="5"/>
      <c r="AR233" s="5"/>
      <c r="AT233" s="5"/>
      <c r="AU233" s="5"/>
      <c r="AV233" s="5"/>
      <c r="AW233" s="5"/>
      <c r="AX233" s="5"/>
      <c r="AY233" s="5"/>
      <c r="BA233" s="5"/>
      <c r="BB233" s="5"/>
      <c r="BC233" s="5"/>
      <c r="BD233" s="5"/>
      <c r="BE233" s="5"/>
      <c r="BF233" s="5"/>
      <c r="BH233" s="5"/>
      <c r="BI233" s="5"/>
      <c r="BJ233" s="5"/>
      <c r="BK233" s="5"/>
      <c r="BL233" s="5"/>
      <c r="BM233" s="5"/>
      <c r="BO233" s="5"/>
      <c r="BP233" s="5"/>
      <c r="BQ233" s="5"/>
      <c r="BR233" s="5"/>
      <c r="BS233" s="5"/>
      <c r="BU233" s="4"/>
      <c r="BV233" s="4"/>
      <c r="BW233" s="4"/>
      <c r="BX233" s="4"/>
    </row>
    <row r="234" spans="4:76" ht="15.75" customHeight="1">
      <c r="D234" s="5"/>
      <c r="E234" s="5"/>
      <c r="F234" s="5"/>
      <c r="G234" s="5"/>
      <c r="H234" s="5"/>
      <c r="I234" s="5"/>
      <c r="K234" s="5"/>
      <c r="L234" s="5"/>
      <c r="M234" s="5"/>
      <c r="N234" s="5"/>
      <c r="O234" s="5"/>
      <c r="P234" s="5"/>
      <c r="R234" s="5"/>
      <c r="S234" s="5"/>
      <c r="T234" s="5"/>
      <c r="U234" s="5"/>
      <c r="V234" s="5"/>
      <c r="W234" s="5"/>
      <c r="Y234" s="5"/>
      <c r="Z234" s="5"/>
      <c r="AA234" s="5"/>
      <c r="AB234" s="5"/>
      <c r="AC234" s="5"/>
      <c r="AD234" s="5"/>
      <c r="AF234" s="5"/>
      <c r="AG234" s="5"/>
      <c r="AH234" s="5"/>
      <c r="AI234" s="5"/>
      <c r="AJ234" s="5"/>
      <c r="AK234" s="5"/>
      <c r="AM234" s="5"/>
      <c r="AN234" s="5"/>
      <c r="AO234" s="5"/>
      <c r="AP234" s="5"/>
      <c r="AQ234" s="5"/>
      <c r="AR234" s="5"/>
      <c r="AT234" s="5"/>
      <c r="AU234" s="5"/>
      <c r="AV234" s="5"/>
      <c r="AW234" s="5"/>
      <c r="AX234" s="5"/>
      <c r="AY234" s="5"/>
      <c r="BA234" s="5"/>
      <c r="BB234" s="5"/>
      <c r="BC234" s="5"/>
      <c r="BD234" s="5"/>
      <c r="BE234" s="5"/>
      <c r="BF234" s="5"/>
      <c r="BH234" s="5"/>
      <c r="BI234" s="5"/>
      <c r="BJ234" s="5"/>
      <c r="BK234" s="5"/>
      <c r="BL234" s="5"/>
      <c r="BM234" s="5"/>
      <c r="BO234" s="5"/>
      <c r="BP234" s="5"/>
      <c r="BQ234" s="5"/>
      <c r="BR234" s="5"/>
      <c r="BS234" s="5"/>
      <c r="BU234" s="4"/>
      <c r="BV234" s="4"/>
      <c r="BW234" s="4"/>
      <c r="BX234" s="4"/>
    </row>
    <row r="235" spans="4:76" ht="15.75" customHeight="1">
      <c r="D235" s="5"/>
      <c r="E235" s="5"/>
      <c r="F235" s="5"/>
      <c r="G235" s="5"/>
      <c r="H235" s="5"/>
      <c r="I235" s="5"/>
      <c r="K235" s="5"/>
      <c r="L235" s="5"/>
      <c r="M235" s="5"/>
      <c r="N235" s="5"/>
      <c r="O235" s="5"/>
      <c r="P235" s="5"/>
      <c r="R235" s="5"/>
      <c r="S235" s="5"/>
      <c r="T235" s="5"/>
      <c r="U235" s="5"/>
      <c r="V235" s="5"/>
      <c r="W235" s="5"/>
      <c r="Y235" s="5"/>
      <c r="Z235" s="5"/>
      <c r="AA235" s="5"/>
      <c r="AB235" s="5"/>
      <c r="AC235" s="5"/>
      <c r="AD235" s="5"/>
      <c r="AF235" s="5"/>
      <c r="AG235" s="5"/>
      <c r="AH235" s="5"/>
      <c r="AI235" s="5"/>
      <c r="AJ235" s="5"/>
      <c r="AK235" s="5"/>
      <c r="AM235" s="5"/>
      <c r="AN235" s="5"/>
      <c r="AO235" s="5"/>
      <c r="AP235" s="5"/>
      <c r="AQ235" s="5"/>
      <c r="AR235" s="5"/>
      <c r="AT235" s="5"/>
      <c r="AU235" s="5"/>
      <c r="AV235" s="5"/>
      <c r="AW235" s="5"/>
      <c r="AX235" s="5"/>
      <c r="AY235" s="5"/>
      <c r="BA235" s="5"/>
      <c r="BB235" s="5"/>
      <c r="BC235" s="5"/>
      <c r="BD235" s="5"/>
      <c r="BE235" s="5"/>
      <c r="BF235" s="5"/>
      <c r="BH235" s="5"/>
      <c r="BI235" s="5"/>
      <c r="BJ235" s="5"/>
      <c r="BK235" s="5"/>
      <c r="BL235" s="5"/>
      <c r="BM235" s="5"/>
      <c r="BO235" s="5"/>
      <c r="BP235" s="5"/>
      <c r="BQ235" s="5"/>
      <c r="BR235" s="5"/>
      <c r="BS235" s="5"/>
      <c r="BU235" s="4"/>
      <c r="BV235" s="4"/>
      <c r="BW235" s="4"/>
      <c r="BX235" s="4"/>
    </row>
    <row r="236" spans="4:76" ht="15.75" customHeight="1">
      <c r="D236" s="5"/>
      <c r="E236" s="5"/>
      <c r="F236" s="5"/>
      <c r="G236" s="5"/>
      <c r="H236" s="5"/>
      <c r="I236" s="5"/>
      <c r="K236" s="5"/>
      <c r="L236" s="5"/>
      <c r="M236" s="5"/>
      <c r="N236" s="5"/>
      <c r="O236" s="5"/>
      <c r="P236" s="5"/>
      <c r="R236" s="5"/>
      <c r="S236" s="5"/>
      <c r="T236" s="5"/>
      <c r="U236" s="5"/>
      <c r="V236" s="5"/>
      <c r="W236" s="5"/>
      <c r="Y236" s="5"/>
      <c r="Z236" s="5"/>
      <c r="AA236" s="5"/>
      <c r="AB236" s="5"/>
      <c r="AC236" s="5"/>
      <c r="AD236" s="5"/>
      <c r="AF236" s="5"/>
      <c r="AG236" s="5"/>
      <c r="AH236" s="5"/>
      <c r="AI236" s="5"/>
      <c r="AJ236" s="5"/>
      <c r="AK236" s="5"/>
      <c r="AM236" s="5"/>
      <c r="AN236" s="5"/>
      <c r="AO236" s="5"/>
      <c r="AP236" s="5"/>
      <c r="AQ236" s="5"/>
      <c r="AR236" s="5"/>
      <c r="AT236" s="5"/>
      <c r="AU236" s="5"/>
      <c r="AV236" s="5"/>
      <c r="AW236" s="5"/>
      <c r="AX236" s="5"/>
      <c r="AY236" s="5"/>
      <c r="BA236" s="5"/>
      <c r="BB236" s="5"/>
      <c r="BC236" s="5"/>
      <c r="BD236" s="5"/>
      <c r="BE236" s="5"/>
      <c r="BF236" s="5"/>
      <c r="BH236" s="5"/>
      <c r="BI236" s="5"/>
      <c r="BJ236" s="5"/>
      <c r="BK236" s="5"/>
      <c r="BL236" s="5"/>
      <c r="BM236" s="5"/>
      <c r="BO236" s="5"/>
      <c r="BP236" s="5"/>
      <c r="BQ236" s="5"/>
      <c r="BR236" s="5"/>
      <c r="BS236" s="5"/>
      <c r="BU236" s="4"/>
      <c r="BV236" s="4"/>
      <c r="BW236" s="4"/>
      <c r="BX236" s="4"/>
    </row>
    <row r="237" spans="4:76" ht="15.75" customHeight="1">
      <c r="D237" s="5"/>
      <c r="E237" s="5"/>
      <c r="F237" s="5"/>
      <c r="G237" s="5"/>
      <c r="H237" s="5"/>
      <c r="I237" s="5"/>
      <c r="K237" s="5"/>
      <c r="L237" s="5"/>
      <c r="M237" s="5"/>
      <c r="N237" s="5"/>
      <c r="O237" s="5"/>
      <c r="P237" s="5"/>
      <c r="R237" s="5"/>
      <c r="S237" s="5"/>
      <c r="T237" s="5"/>
      <c r="U237" s="5"/>
      <c r="V237" s="5"/>
      <c r="W237" s="5"/>
      <c r="Y237" s="5"/>
      <c r="Z237" s="5"/>
      <c r="AA237" s="5"/>
      <c r="AB237" s="5"/>
      <c r="AC237" s="5"/>
      <c r="AD237" s="5"/>
      <c r="AF237" s="5"/>
      <c r="AG237" s="5"/>
      <c r="AH237" s="5"/>
      <c r="AI237" s="5"/>
      <c r="AJ237" s="5"/>
      <c r="AK237" s="5"/>
      <c r="AM237" s="5"/>
      <c r="AN237" s="5"/>
      <c r="AO237" s="5"/>
      <c r="AP237" s="5"/>
      <c r="AQ237" s="5"/>
      <c r="AR237" s="5"/>
      <c r="AT237" s="5"/>
      <c r="AU237" s="5"/>
      <c r="AV237" s="5"/>
      <c r="AW237" s="5"/>
      <c r="AX237" s="5"/>
      <c r="AY237" s="5"/>
      <c r="BA237" s="5"/>
      <c r="BB237" s="5"/>
      <c r="BC237" s="5"/>
      <c r="BD237" s="5"/>
      <c r="BE237" s="5"/>
      <c r="BF237" s="5"/>
      <c r="BH237" s="5"/>
      <c r="BI237" s="5"/>
      <c r="BJ237" s="5"/>
      <c r="BK237" s="5"/>
      <c r="BL237" s="5"/>
      <c r="BM237" s="5"/>
      <c r="BO237" s="5"/>
      <c r="BP237" s="5"/>
      <c r="BQ237" s="5"/>
      <c r="BR237" s="5"/>
      <c r="BS237" s="5"/>
      <c r="BU237" s="4"/>
      <c r="BV237" s="4"/>
      <c r="BW237" s="4"/>
      <c r="BX237" s="4"/>
    </row>
    <row r="238" spans="4:76" ht="15.75" customHeight="1">
      <c r="D238" s="5"/>
      <c r="E238" s="5"/>
      <c r="F238" s="5"/>
      <c r="G238" s="5"/>
      <c r="H238" s="5"/>
      <c r="I238" s="5"/>
      <c r="K238" s="5"/>
      <c r="L238" s="5"/>
      <c r="M238" s="5"/>
      <c r="N238" s="5"/>
      <c r="O238" s="5"/>
      <c r="P238" s="5"/>
      <c r="R238" s="5"/>
      <c r="S238" s="5"/>
      <c r="T238" s="5"/>
      <c r="U238" s="5"/>
      <c r="V238" s="5"/>
      <c r="W238" s="5"/>
      <c r="Y238" s="5"/>
      <c r="Z238" s="5"/>
      <c r="AA238" s="5"/>
      <c r="AB238" s="5"/>
      <c r="AC238" s="5"/>
      <c r="AD238" s="5"/>
      <c r="AF238" s="5"/>
      <c r="AG238" s="5"/>
      <c r="AH238" s="5"/>
      <c r="AI238" s="5"/>
      <c r="AJ238" s="5"/>
      <c r="AK238" s="5"/>
      <c r="AM238" s="5"/>
      <c r="AN238" s="5"/>
      <c r="AO238" s="5"/>
      <c r="AP238" s="5"/>
      <c r="AQ238" s="5"/>
      <c r="AR238" s="5"/>
      <c r="AT238" s="5"/>
      <c r="AU238" s="5"/>
      <c r="AV238" s="5"/>
      <c r="AW238" s="5"/>
      <c r="AX238" s="5"/>
      <c r="AY238" s="5"/>
      <c r="BA238" s="5"/>
      <c r="BB238" s="5"/>
      <c r="BC238" s="5"/>
      <c r="BD238" s="5"/>
      <c r="BE238" s="5"/>
      <c r="BF238" s="5"/>
      <c r="BH238" s="5"/>
      <c r="BI238" s="5"/>
      <c r="BJ238" s="5"/>
      <c r="BK238" s="5"/>
      <c r="BL238" s="5"/>
      <c r="BM238" s="5"/>
      <c r="BO238" s="5"/>
      <c r="BP238" s="5"/>
      <c r="BQ238" s="5"/>
      <c r="BR238" s="5"/>
      <c r="BS238" s="5"/>
      <c r="BU238" s="4"/>
      <c r="BV238" s="4"/>
      <c r="BW238" s="4"/>
      <c r="BX238" s="4"/>
    </row>
    <row r="239" spans="4:76" ht="15.75" customHeight="1">
      <c r="D239" s="5"/>
      <c r="E239" s="5"/>
      <c r="F239" s="5"/>
      <c r="G239" s="5"/>
      <c r="H239" s="5"/>
      <c r="I239" s="5"/>
      <c r="K239" s="5"/>
      <c r="L239" s="5"/>
      <c r="M239" s="5"/>
      <c r="N239" s="5"/>
      <c r="O239" s="5"/>
      <c r="P239" s="5"/>
      <c r="R239" s="5"/>
      <c r="S239" s="5"/>
      <c r="T239" s="5"/>
      <c r="U239" s="5"/>
      <c r="V239" s="5"/>
      <c r="W239" s="5"/>
      <c r="Y239" s="5"/>
      <c r="Z239" s="5"/>
      <c r="AA239" s="5"/>
      <c r="AB239" s="5"/>
      <c r="AC239" s="5"/>
      <c r="AD239" s="5"/>
      <c r="AF239" s="5"/>
      <c r="AG239" s="5"/>
      <c r="AH239" s="5"/>
      <c r="AI239" s="5"/>
      <c r="AJ239" s="5"/>
      <c r="AK239" s="5"/>
      <c r="AM239" s="5"/>
      <c r="AN239" s="5"/>
      <c r="AO239" s="5"/>
      <c r="AP239" s="5"/>
      <c r="AQ239" s="5"/>
      <c r="AR239" s="5"/>
      <c r="AT239" s="5"/>
      <c r="AU239" s="5"/>
      <c r="AV239" s="5"/>
      <c r="AW239" s="5"/>
      <c r="AX239" s="5"/>
      <c r="AY239" s="5"/>
      <c r="BA239" s="5"/>
      <c r="BB239" s="5"/>
      <c r="BC239" s="5"/>
      <c r="BD239" s="5"/>
      <c r="BE239" s="5"/>
      <c r="BF239" s="5"/>
      <c r="BH239" s="5"/>
      <c r="BI239" s="5"/>
      <c r="BJ239" s="5"/>
      <c r="BK239" s="5"/>
      <c r="BL239" s="5"/>
      <c r="BM239" s="5"/>
      <c r="BO239" s="5"/>
      <c r="BP239" s="5"/>
      <c r="BQ239" s="5"/>
      <c r="BR239" s="5"/>
      <c r="BS239" s="5"/>
      <c r="BU239" s="4"/>
      <c r="BV239" s="4"/>
      <c r="BW239" s="4"/>
      <c r="BX239" s="4"/>
    </row>
    <row r="240" spans="4:76" ht="15.75" customHeight="1">
      <c r="D240" s="5"/>
      <c r="E240" s="5"/>
      <c r="F240" s="5"/>
      <c r="G240" s="5"/>
      <c r="H240" s="5"/>
      <c r="I240" s="5"/>
      <c r="K240" s="5"/>
      <c r="L240" s="5"/>
      <c r="M240" s="5"/>
      <c r="N240" s="5"/>
      <c r="O240" s="5"/>
      <c r="P240" s="5"/>
      <c r="R240" s="5"/>
      <c r="S240" s="5"/>
      <c r="T240" s="5"/>
      <c r="U240" s="5"/>
      <c r="V240" s="5"/>
      <c r="W240" s="5"/>
      <c r="Y240" s="5"/>
      <c r="Z240" s="5"/>
      <c r="AA240" s="5"/>
      <c r="AB240" s="5"/>
      <c r="AC240" s="5"/>
      <c r="AD240" s="5"/>
      <c r="AF240" s="5"/>
      <c r="AG240" s="5"/>
      <c r="AH240" s="5"/>
      <c r="AI240" s="5"/>
      <c r="AJ240" s="5"/>
      <c r="AK240" s="5"/>
      <c r="AM240" s="5"/>
      <c r="AN240" s="5"/>
      <c r="AO240" s="5"/>
      <c r="AP240" s="5"/>
      <c r="AQ240" s="5"/>
      <c r="AR240" s="5"/>
      <c r="AT240" s="5"/>
      <c r="AU240" s="5"/>
      <c r="AV240" s="5"/>
      <c r="AW240" s="5"/>
      <c r="AX240" s="5"/>
      <c r="AY240" s="5"/>
      <c r="BA240" s="5"/>
      <c r="BB240" s="5"/>
      <c r="BC240" s="5"/>
      <c r="BD240" s="5"/>
      <c r="BE240" s="5"/>
      <c r="BF240" s="5"/>
      <c r="BH240" s="5"/>
      <c r="BI240" s="5"/>
      <c r="BJ240" s="5"/>
      <c r="BK240" s="5"/>
      <c r="BL240" s="5"/>
      <c r="BM240" s="5"/>
      <c r="BO240" s="5"/>
      <c r="BP240" s="5"/>
      <c r="BQ240" s="5"/>
      <c r="BR240" s="5"/>
      <c r="BS240" s="5"/>
      <c r="BU240" s="4"/>
      <c r="BV240" s="4"/>
      <c r="BW240" s="4"/>
      <c r="BX240" s="4"/>
    </row>
    <row r="241" spans="4:76" ht="15.75" customHeight="1">
      <c r="D241" s="5"/>
      <c r="E241" s="5"/>
      <c r="F241" s="5"/>
      <c r="G241" s="5"/>
      <c r="H241" s="5"/>
      <c r="I241" s="5"/>
      <c r="K241" s="5"/>
      <c r="L241" s="5"/>
      <c r="M241" s="5"/>
      <c r="N241" s="5"/>
      <c r="O241" s="5"/>
      <c r="P241" s="5"/>
      <c r="R241" s="5"/>
      <c r="S241" s="5"/>
      <c r="T241" s="5"/>
      <c r="U241" s="5"/>
      <c r="V241" s="5"/>
      <c r="W241" s="5"/>
      <c r="Y241" s="5"/>
      <c r="Z241" s="5"/>
      <c r="AA241" s="5"/>
      <c r="AB241" s="5"/>
      <c r="AC241" s="5"/>
      <c r="AD241" s="5"/>
      <c r="AF241" s="5"/>
      <c r="AG241" s="5"/>
      <c r="AH241" s="5"/>
      <c r="AI241" s="5"/>
      <c r="AJ241" s="5"/>
      <c r="AK241" s="5"/>
      <c r="AM241" s="5"/>
      <c r="AN241" s="5"/>
      <c r="AO241" s="5"/>
      <c r="AP241" s="5"/>
      <c r="AQ241" s="5"/>
      <c r="AR241" s="5"/>
      <c r="AT241" s="5"/>
      <c r="AU241" s="5"/>
      <c r="AV241" s="5"/>
      <c r="AW241" s="5"/>
      <c r="AX241" s="5"/>
      <c r="AY241" s="5"/>
      <c r="BA241" s="5"/>
      <c r="BB241" s="5"/>
      <c r="BC241" s="5"/>
      <c r="BD241" s="5"/>
      <c r="BE241" s="5"/>
      <c r="BF241" s="5"/>
      <c r="BH241" s="5"/>
      <c r="BI241" s="5"/>
      <c r="BJ241" s="5"/>
      <c r="BK241" s="5"/>
      <c r="BL241" s="5"/>
      <c r="BM241" s="5"/>
      <c r="BO241" s="5"/>
      <c r="BP241" s="5"/>
      <c r="BQ241" s="5"/>
      <c r="BR241" s="5"/>
      <c r="BS241" s="5"/>
      <c r="BU241" s="4"/>
      <c r="BV241" s="4"/>
      <c r="BW241" s="4"/>
      <c r="BX241" s="4"/>
    </row>
    <row r="242" spans="4:76" ht="15.75" customHeight="1">
      <c r="D242" s="5"/>
      <c r="E242" s="5"/>
      <c r="F242" s="5"/>
      <c r="G242" s="5"/>
      <c r="H242" s="5"/>
      <c r="I242" s="5"/>
      <c r="K242" s="5"/>
      <c r="L242" s="5"/>
      <c r="M242" s="5"/>
      <c r="N242" s="5"/>
      <c r="O242" s="5"/>
      <c r="P242" s="5"/>
      <c r="R242" s="5"/>
      <c r="S242" s="5"/>
      <c r="T242" s="5"/>
      <c r="U242" s="5"/>
      <c r="V242" s="5"/>
      <c r="W242" s="5"/>
      <c r="Y242" s="5"/>
      <c r="Z242" s="5"/>
      <c r="AA242" s="5"/>
      <c r="AB242" s="5"/>
      <c r="AC242" s="5"/>
      <c r="AD242" s="5"/>
      <c r="AF242" s="5"/>
      <c r="AG242" s="5"/>
      <c r="AH242" s="5"/>
      <c r="AI242" s="5"/>
      <c r="AJ242" s="5"/>
      <c r="AK242" s="5"/>
      <c r="AM242" s="5"/>
      <c r="AN242" s="5"/>
      <c r="AO242" s="5"/>
      <c r="AP242" s="5"/>
      <c r="AQ242" s="5"/>
      <c r="AR242" s="5"/>
      <c r="AT242" s="5"/>
      <c r="AU242" s="5"/>
      <c r="AV242" s="5"/>
      <c r="AW242" s="5"/>
      <c r="AX242" s="5"/>
      <c r="AY242" s="5"/>
      <c r="BA242" s="5"/>
      <c r="BB242" s="5"/>
      <c r="BC242" s="5"/>
      <c r="BD242" s="5"/>
      <c r="BE242" s="5"/>
      <c r="BF242" s="5"/>
      <c r="BH242" s="5"/>
      <c r="BI242" s="5"/>
      <c r="BJ242" s="5"/>
      <c r="BK242" s="5"/>
      <c r="BL242" s="5"/>
      <c r="BM242" s="5"/>
      <c r="BO242" s="5"/>
      <c r="BP242" s="5"/>
      <c r="BQ242" s="5"/>
      <c r="BR242" s="5"/>
      <c r="BS242" s="5"/>
      <c r="BU242" s="4"/>
      <c r="BV242" s="4"/>
      <c r="BW242" s="4"/>
      <c r="BX242" s="4"/>
    </row>
    <row r="243" spans="4:76" ht="15.75" customHeight="1">
      <c r="D243" s="5"/>
      <c r="E243" s="5"/>
      <c r="F243" s="5"/>
      <c r="G243" s="5"/>
      <c r="H243" s="5"/>
      <c r="I243" s="5"/>
      <c r="K243" s="5"/>
      <c r="L243" s="5"/>
      <c r="M243" s="5"/>
      <c r="N243" s="5"/>
      <c r="O243" s="5"/>
      <c r="P243" s="5"/>
      <c r="R243" s="5"/>
      <c r="S243" s="5"/>
      <c r="T243" s="5"/>
      <c r="U243" s="5"/>
      <c r="V243" s="5"/>
      <c r="W243" s="5"/>
      <c r="Y243" s="5"/>
      <c r="Z243" s="5"/>
      <c r="AA243" s="5"/>
      <c r="AB243" s="5"/>
      <c r="AC243" s="5"/>
      <c r="AD243" s="5"/>
      <c r="AF243" s="5"/>
      <c r="AG243" s="5"/>
      <c r="AH243" s="5"/>
      <c r="AI243" s="5"/>
      <c r="AJ243" s="5"/>
      <c r="AK243" s="5"/>
      <c r="AM243" s="5"/>
      <c r="AN243" s="5"/>
      <c r="AO243" s="5"/>
      <c r="AP243" s="5"/>
      <c r="AQ243" s="5"/>
      <c r="AR243" s="5"/>
      <c r="AT243" s="5"/>
      <c r="AU243" s="5"/>
      <c r="AV243" s="5"/>
      <c r="AW243" s="5"/>
      <c r="AX243" s="5"/>
      <c r="AY243" s="5"/>
      <c r="BA243" s="5"/>
      <c r="BB243" s="5"/>
      <c r="BC243" s="5"/>
      <c r="BD243" s="5"/>
      <c r="BE243" s="5"/>
      <c r="BF243" s="5"/>
      <c r="BH243" s="5"/>
      <c r="BI243" s="5"/>
      <c r="BJ243" s="5"/>
      <c r="BK243" s="5"/>
      <c r="BL243" s="5"/>
      <c r="BM243" s="5"/>
      <c r="BO243" s="5"/>
      <c r="BP243" s="5"/>
      <c r="BQ243" s="5"/>
      <c r="BR243" s="5"/>
      <c r="BS243" s="5"/>
      <c r="BU243" s="4"/>
      <c r="BV243" s="4"/>
      <c r="BW243" s="4"/>
      <c r="BX243" s="4"/>
    </row>
    <row r="244" spans="4:76" ht="15.75" customHeight="1">
      <c r="D244" s="5"/>
      <c r="E244" s="5"/>
      <c r="F244" s="5"/>
      <c r="G244" s="5"/>
      <c r="H244" s="5"/>
      <c r="I244" s="5"/>
      <c r="K244" s="5"/>
      <c r="L244" s="5"/>
      <c r="M244" s="5"/>
      <c r="N244" s="5"/>
      <c r="O244" s="5"/>
      <c r="P244" s="5"/>
      <c r="R244" s="5"/>
      <c r="S244" s="5"/>
      <c r="T244" s="5"/>
      <c r="U244" s="5"/>
      <c r="V244" s="5"/>
      <c r="W244" s="5"/>
      <c r="Y244" s="5"/>
      <c r="Z244" s="5"/>
      <c r="AA244" s="5"/>
      <c r="AB244" s="5"/>
      <c r="AC244" s="5"/>
      <c r="AD244" s="5"/>
      <c r="AF244" s="5"/>
      <c r="AG244" s="5"/>
      <c r="AH244" s="5"/>
      <c r="AI244" s="5"/>
      <c r="AJ244" s="5"/>
      <c r="AK244" s="5"/>
      <c r="AM244" s="5"/>
      <c r="AN244" s="5"/>
      <c r="AO244" s="5"/>
      <c r="AP244" s="5"/>
      <c r="AQ244" s="5"/>
      <c r="AR244" s="5"/>
      <c r="AT244" s="5"/>
      <c r="AU244" s="5"/>
      <c r="AV244" s="5"/>
      <c r="AW244" s="5"/>
      <c r="AX244" s="5"/>
      <c r="AY244" s="5"/>
      <c r="BA244" s="5"/>
      <c r="BB244" s="5"/>
      <c r="BC244" s="5"/>
      <c r="BD244" s="5"/>
      <c r="BE244" s="5"/>
      <c r="BF244" s="5"/>
      <c r="BH244" s="5"/>
      <c r="BI244" s="5"/>
      <c r="BJ244" s="5"/>
      <c r="BK244" s="5"/>
      <c r="BL244" s="5"/>
      <c r="BM244" s="5"/>
      <c r="BO244" s="5"/>
      <c r="BP244" s="5"/>
      <c r="BQ244" s="5"/>
      <c r="BR244" s="5"/>
      <c r="BS244" s="5"/>
      <c r="BU244" s="4"/>
      <c r="BV244" s="4"/>
      <c r="BW244" s="4"/>
      <c r="BX244" s="4"/>
    </row>
    <row r="245" spans="4:76" ht="15.75" customHeight="1">
      <c r="D245" s="5"/>
      <c r="E245" s="5"/>
      <c r="F245" s="5"/>
      <c r="G245" s="5"/>
      <c r="H245" s="5"/>
      <c r="I245" s="5"/>
      <c r="K245" s="5"/>
      <c r="L245" s="5"/>
      <c r="M245" s="5"/>
      <c r="N245" s="5"/>
      <c r="O245" s="5"/>
      <c r="P245" s="5"/>
      <c r="R245" s="5"/>
      <c r="S245" s="5"/>
      <c r="T245" s="5"/>
      <c r="U245" s="5"/>
      <c r="V245" s="5"/>
      <c r="W245" s="5"/>
      <c r="Y245" s="5"/>
      <c r="Z245" s="5"/>
      <c r="AA245" s="5"/>
      <c r="AB245" s="5"/>
      <c r="AC245" s="5"/>
      <c r="AD245" s="5"/>
      <c r="AF245" s="5"/>
      <c r="AG245" s="5"/>
      <c r="AH245" s="5"/>
      <c r="AI245" s="5"/>
      <c r="AJ245" s="5"/>
      <c r="AK245" s="5"/>
      <c r="AM245" s="5"/>
      <c r="AN245" s="5"/>
      <c r="AO245" s="5"/>
      <c r="AP245" s="5"/>
      <c r="AQ245" s="5"/>
      <c r="AR245" s="5"/>
      <c r="AT245" s="5"/>
      <c r="AU245" s="5"/>
      <c r="AV245" s="5"/>
      <c r="AW245" s="5"/>
      <c r="AX245" s="5"/>
      <c r="AY245" s="5"/>
      <c r="BA245" s="5"/>
      <c r="BB245" s="5"/>
      <c r="BC245" s="5"/>
      <c r="BD245" s="5"/>
      <c r="BE245" s="5"/>
      <c r="BF245" s="5"/>
      <c r="BH245" s="5"/>
      <c r="BI245" s="5"/>
      <c r="BJ245" s="5"/>
      <c r="BK245" s="5"/>
      <c r="BL245" s="5"/>
      <c r="BM245" s="5"/>
      <c r="BO245" s="5"/>
      <c r="BP245" s="5"/>
      <c r="BQ245" s="5"/>
      <c r="BR245" s="5"/>
      <c r="BS245" s="5"/>
      <c r="BU245" s="4"/>
      <c r="BV245" s="4"/>
      <c r="BW245" s="4"/>
      <c r="BX245" s="4"/>
    </row>
    <row r="246" spans="4:76" ht="15.75" customHeight="1">
      <c r="D246" s="5"/>
      <c r="E246" s="5"/>
      <c r="F246" s="5"/>
      <c r="G246" s="5"/>
      <c r="H246" s="5"/>
      <c r="I246" s="5"/>
      <c r="K246" s="5"/>
      <c r="L246" s="5"/>
      <c r="M246" s="5"/>
      <c r="N246" s="5"/>
      <c r="O246" s="5"/>
      <c r="P246" s="5"/>
      <c r="R246" s="5"/>
      <c r="S246" s="5"/>
      <c r="T246" s="5"/>
      <c r="U246" s="5"/>
      <c r="V246" s="5"/>
      <c r="W246" s="5"/>
      <c r="Y246" s="5"/>
      <c r="Z246" s="5"/>
      <c r="AA246" s="5"/>
      <c r="AB246" s="5"/>
      <c r="AC246" s="5"/>
      <c r="AD246" s="5"/>
      <c r="AF246" s="5"/>
      <c r="AG246" s="5"/>
      <c r="AH246" s="5"/>
      <c r="AI246" s="5"/>
      <c r="AJ246" s="5"/>
      <c r="AK246" s="5"/>
      <c r="AM246" s="5"/>
      <c r="AN246" s="5"/>
      <c r="AO246" s="5"/>
      <c r="AP246" s="5"/>
      <c r="AQ246" s="5"/>
      <c r="AR246" s="5"/>
      <c r="AT246" s="5"/>
      <c r="AU246" s="5"/>
      <c r="AV246" s="5"/>
      <c r="AW246" s="5"/>
      <c r="AX246" s="5"/>
      <c r="AY246" s="5"/>
      <c r="BA246" s="5"/>
      <c r="BB246" s="5"/>
      <c r="BC246" s="5"/>
      <c r="BD246" s="5"/>
      <c r="BE246" s="5"/>
      <c r="BF246" s="5"/>
      <c r="BH246" s="5"/>
      <c r="BI246" s="5"/>
      <c r="BJ246" s="5"/>
      <c r="BK246" s="5"/>
      <c r="BL246" s="5"/>
      <c r="BM246" s="5"/>
      <c r="BO246" s="5"/>
      <c r="BP246" s="5"/>
      <c r="BQ246" s="5"/>
      <c r="BR246" s="5"/>
      <c r="BS246" s="5"/>
      <c r="BU246" s="4"/>
      <c r="BV246" s="4"/>
      <c r="BW246" s="4"/>
      <c r="BX246" s="4"/>
    </row>
    <row r="247" spans="4:76" ht="15.75" customHeight="1">
      <c r="D247" s="5"/>
      <c r="E247" s="5"/>
      <c r="F247" s="5"/>
      <c r="G247" s="5"/>
      <c r="H247" s="5"/>
      <c r="I247" s="5"/>
      <c r="K247" s="5"/>
      <c r="L247" s="5"/>
      <c r="M247" s="5"/>
      <c r="N247" s="5"/>
      <c r="O247" s="5"/>
      <c r="P247" s="5"/>
      <c r="R247" s="5"/>
      <c r="S247" s="5"/>
      <c r="T247" s="5"/>
      <c r="U247" s="5"/>
      <c r="V247" s="5"/>
      <c r="W247" s="5"/>
      <c r="Y247" s="5"/>
      <c r="Z247" s="5"/>
      <c r="AA247" s="5"/>
      <c r="AB247" s="5"/>
      <c r="AC247" s="5"/>
      <c r="AD247" s="5"/>
      <c r="AF247" s="5"/>
      <c r="AG247" s="5"/>
      <c r="AH247" s="5"/>
      <c r="AI247" s="5"/>
      <c r="AJ247" s="5"/>
      <c r="AK247" s="5"/>
      <c r="AM247" s="5"/>
      <c r="AN247" s="5"/>
      <c r="AO247" s="5"/>
      <c r="AP247" s="5"/>
      <c r="AQ247" s="5"/>
      <c r="AR247" s="5"/>
      <c r="AT247" s="5"/>
      <c r="AU247" s="5"/>
      <c r="AV247" s="5"/>
      <c r="AW247" s="5"/>
      <c r="AX247" s="5"/>
      <c r="AY247" s="5"/>
      <c r="BA247" s="5"/>
      <c r="BB247" s="5"/>
      <c r="BC247" s="5"/>
      <c r="BD247" s="5"/>
      <c r="BE247" s="5"/>
      <c r="BF247" s="5"/>
      <c r="BH247" s="5"/>
      <c r="BI247" s="5"/>
      <c r="BJ247" s="5"/>
      <c r="BK247" s="5"/>
      <c r="BL247" s="5"/>
      <c r="BM247" s="5"/>
      <c r="BO247" s="5"/>
      <c r="BP247" s="5"/>
      <c r="BQ247" s="5"/>
      <c r="BR247" s="5"/>
      <c r="BS247" s="5"/>
      <c r="BU247" s="4"/>
      <c r="BV247" s="4"/>
      <c r="BW247" s="4"/>
      <c r="BX247" s="4"/>
    </row>
    <row r="248" spans="4:76" ht="15.75" customHeight="1">
      <c r="D248" s="5"/>
      <c r="E248" s="5"/>
      <c r="F248" s="5"/>
      <c r="G248" s="5"/>
      <c r="H248" s="5"/>
      <c r="I248" s="5"/>
      <c r="K248" s="5"/>
      <c r="L248" s="5"/>
      <c r="M248" s="5"/>
      <c r="N248" s="5"/>
      <c r="O248" s="5"/>
      <c r="P248" s="5"/>
      <c r="R248" s="5"/>
      <c r="S248" s="5"/>
      <c r="T248" s="5"/>
      <c r="U248" s="5"/>
      <c r="V248" s="5"/>
      <c r="W248" s="5"/>
      <c r="Y248" s="5"/>
      <c r="Z248" s="5"/>
      <c r="AA248" s="5"/>
      <c r="AB248" s="5"/>
      <c r="AC248" s="5"/>
      <c r="AD248" s="5"/>
      <c r="AF248" s="5"/>
      <c r="AG248" s="5"/>
      <c r="AH248" s="5"/>
      <c r="AI248" s="5"/>
      <c r="AJ248" s="5"/>
      <c r="AK248" s="5"/>
      <c r="AM248" s="5"/>
      <c r="AN248" s="5"/>
      <c r="AO248" s="5"/>
      <c r="AP248" s="5"/>
      <c r="AQ248" s="5"/>
      <c r="AR248" s="5"/>
      <c r="AT248" s="5"/>
      <c r="AU248" s="5"/>
      <c r="AV248" s="5"/>
      <c r="AW248" s="5"/>
      <c r="AX248" s="5"/>
      <c r="AY248" s="5"/>
      <c r="BA248" s="5"/>
      <c r="BB248" s="5"/>
      <c r="BC248" s="5"/>
      <c r="BD248" s="5"/>
      <c r="BE248" s="5"/>
      <c r="BF248" s="5"/>
      <c r="BH248" s="5"/>
      <c r="BI248" s="5"/>
      <c r="BJ248" s="5"/>
      <c r="BK248" s="5"/>
      <c r="BL248" s="5"/>
      <c r="BM248" s="5"/>
      <c r="BO248" s="5"/>
      <c r="BP248" s="5"/>
      <c r="BQ248" s="5"/>
      <c r="BR248" s="5"/>
      <c r="BS248" s="5"/>
      <c r="BU248" s="4"/>
      <c r="BV248" s="4"/>
      <c r="BW248" s="4"/>
      <c r="BX248" s="4"/>
    </row>
    <row r="249" spans="4:76" ht="15.75" customHeight="1">
      <c r="D249" s="5"/>
      <c r="E249" s="5"/>
      <c r="F249" s="5"/>
      <c r="G249" s="5"/>
      <c r="H249" s="5"/>
      <c r="I249" s="5"/>
      <c r="K249" s="5"/>
      <c r="L249" s="5"/>
      <c r="M249" s="5"/>
      <c r="N249" s="5"/>
      <c r="O249" s="5"/>
      <c r="P249" s="5"/>
      <c r="R249" s="5"/>
      <c r="S249" s="5"/>
      <c r="T249" s="5"/>
      <c r="U249" s="5"/>
      <c r="V249" s="5"/>
      <c r="W249" s="5"/>
      <c r="Y249" s="5"/>
      <c r="Z249" s="5"/>
      <c r="AA249" s="5"/>
      <c r="AB249" s="5"/>
      <c r="AC249" s="5"/>
      <c r="AD249" s="5"/>
      <c r="AF249" s="5"/>
      <c r="AG249" s="5"/>
      <c r="AH249" s="5"/>
      <c r="AI249" s="5"/>
      <c r="AJ249" s="5"/>
      <c r="AK249" s="5"/>
      <c r="AM249" s="5"/>
      <c r="AN249" s="5"/>
      <c r="AO249" s="5"/>
      <c r="AP249" s="5"/>
      <c r="AQ249" s="5"/>
      <c r="AR249" s="5"/>
      <c r="AT249" s="5"/>
      <c r="AU249" s="5"/>
      <c r="AV249" s="5"/>
      <c r="AW249" s="5"/>
      <c r="AX249" s="5"/>
      <c r="AY249" s="5"/>
      <c r="BA249" s="5"/>
      <c r="BB249" s="5"/>
      <c r="BC249" s="5"/>
      <c r="BD249" s="5"/>
      <c r="BE249" s="5"/>
      <c r="BF249" s="5"/>
      <c r="BH249" s="5"/>
      <c r="BI249" s="5"/>
      <c r="BJ249" s="5"/>
      <c r="BK249" s="5"/>
      <c r="BL249" s="5"/>
      <c r="BM249" s="5"/>
      <c r="BO249" s="5"/>
      <c r="BP249" s="5"/>
      <c r="BQ249" s="5"/>
      <c r="BR249" s="5"/>
      <c r="BS249" s="5"/>
      <c r="BU249" s="4"/>
      <c r="BV249" s="4"/>
      <c r="BW249" s="4"/>
      <c r="BX249" s="4"/>
    </row>
    <row r="250" spans="4:76" ht="15.75" customHeight="1">
      <c r="D250" s="5"/>
      <c r="E250" s="5"/>
      <c r="F250" s="5"/>
      <c r="G250" s="5"/>
      <c r="H250" s="5"/>
      <c r="I250" s="5"/>
      <c r="K250" s="5"/>
      <c r="L250" s="5"/>
      <c r="M250" s="5"/>
      <c r="N250" s="5"/>
      <c r="O250" s="5"/>
      <c r="P250" s="5"/>
      <c r="R250" s="5"/>
      <c r="S250" s="5"/>
      <c r="T250" s="5"/>
      <c r="U250" s="5"/>
      <c r="V250" s="5"/>
      <c r="W250" s="5"/>
      <c r="Y250" s="5"/>
      <c r="Z250" s="5"/>
      <c r="AA250" s="5"/>
      <c r="AB250" s="5"/>
      <c r="AC250" s="5"/>
      <c r="AD250" s="5"/>
      <c r="AF250" s="5"/>
      <c r="AG250" s="5"/>
      <c r="AH250" s="5"/>
      <c r="AI250" s="5"/>
      <c r="AJ250" s="5"/>
      <c r="AK250" s="5"/>
      <c r="AM250" s="5"/>
      <c r="AN250" s="5"/>
      <c r="AO250" s="5"/>
      <c r="AP250" s="5"/>
      <c r="AQ250" s="5"/>
      <c r="AR250" s="5"/>
      <c r="AT250" s="5"/>
      <c r="AU250" s="5"/>
      <c r="AV250" s="5"/>
      <c r="AW250" s="5"/>
      <c r="AX250" s="5"/>
      <c r="AY250" s="5"/>
      <c r="BA250" s="5"/>
      <c r="BB250" s="5"/>
      <c r="BC250" s="5"/>
      <c r="BD250" s="5"/>
      <c r="BE250" s="5"/>
      <c r="BF250" s="5"/>
      <c r="BH250" s="5"/>
      <c r="BI250" s="5"/>
      <c r="BJ250" s="5"/>
      <c r="BK250" s="5"/>
      <c r="BL250" s="5"/>
      <c r="BM250" s="5"/>
      <c r="BO250" s="5"/>
      <c r="BP250" s="5"/>
      <c r="BQ250" s="5"/>
      <c r="BR250" s="5"/>
      <c r="BS250" s="5"/>
      <c r="BU250" s="4"/>
      <c r="BV250" s="4"/>
      <c r="BW250" s="4"/>
      <c r="BX250" s="4"/>
    </row>
    <row r="251" spans="4:76" ht="15.75" customHeight="1">
      <c r="D251" s="5"/>
      <c r="E251" s="5"/>
      <c r="F251" s="5"/>
      <c r="G251" s="5"/>
      <c r="H251" s="5"/>
      <c r="I251" s="5"/>
      <c r="K251" s="5"/>
      <c r="L251" s="5"/>
      <c r="M251" s="5"/>
      <c r="N251" s="5"/>
      <c r="O251" s="5"/>
      <c r="P251" s="5"/>
      <c r="R251" s="5"/>
      <c r="S251" s="5"/>
      <c r="T251" s="5"/>
      <c r="U251" s="5"/>
      <c r="V251" s="5"/>
      <c r="W251" s="5"/>
      <c r="Y251" s="5"/>
      <c r="Z251" s="5"/>
      <c r="AA251" s="5"/>
      <c r="AB251" s="5"/>
      <c r="AC251" s="5"/>
      <c r="AD251" s="5"/>
      <c r="AF251" s="5"/>
      <c r="AG251" s="5"/>
      <c r="AH251" s="5"/>
      <c r="AI251" s="5"/>
      <c r="AJ251" s="5"/>
      <c r="AK251" s="5"/>
      <c r="AM251" s="5"/>
      <c r="AN251" s="5"/>
      <c r="AO251" s="5"/>
      <c r="AP251" s="5"/>
      <c r="AQ251" s="5"/>
      <c r="AR251" s="5"/>
      <c r="AT251" s="5"/>
      <c r="AU251" s="5"/>
      <c r="AV251" s="5"/>
      <c r="AW251" s="5"/>
      <c r="AX251" s="5"/>
      <c r="AY251" s="5"/>
      <c r="BA251" s="5"/>
      <c r="BB251" s="5"/>
      <c r="BC251" s="5"/>
      <c r="BD251" s="5"/>
      <c r="BE251" s="5"/>
      <c r="BF251" s="5"/>
      <c r="BH251" s="5"/>
      <c r="BI251" s="5"/>
      <c r="BJ251" s="5"/>
      <c r="BK251" s="5"/>
      <c r="BL251" s="5"/>
      <c r="BM251" s="5"/>
      <c r="BO251" s="5"/>
      <c r="BP251" s="5"/>
      <c r="BQ251" s="5"/>
      <c r="BR251" s="5"/>
      <c r="BS251" s="5"/>
      <c r="BU251" s="4"/>
      <c r="BV251" s="4"/>
      <c r="BW251" s="4"/>
      <c r="BX251" s="4"/>
    </row>
    <row r="252" spans="4:76" ht="15.75" customHeight="1">
      <c r="D252" s="5"/>
      <c r="E252" s="5"/>
      <c r="F252" s="5"/>
      <c r="G252" s="5"/>
      <c r="H252" s="5"/>
      <c r="I252" s="5"/>
      <c r="K252" s="5"/>
      <c r="L252" s="5"/>
      <c r="M252" s="5"/>
      <c r="N252" s="5"/>
      <c r="O252" s="5"/>
      <c r="P252" s="5"/>
      <c r="R252" s="5"/>
      <c r="S252" s="5"/>
      <c r="T252" s="5"/>
      <c r="U252" s="5"/>
      <c r="V252" s="5"/>
      <c r="W252" s="5"/>
      <c r="Y252" s="5"/>
      <c r="Z252" s="5"/>
      <c r="AA252" s="5"/>
      <c r="AB252" s="5"/>
      <c r="AC252" s="5"/>
      <c r="AD252" s="5"/>
      <c r="AF252" s="5"/>
      <c r="AG252" s="5"/>
      <c r="AH252" s="5"/>
      <c r="AI252" s="5"/>
      <c r="AJ252" s="5"/>
      <c r="AK252" s="5"/>
      <c r="AM252" s="5"/>
      <c r="AN252" s="5"/>
      <c r="AO252" s="5"/>
      <c r="AP252" s="5"/>
      <c r="AQ252" s="5"/>
      <c r="AR252" s="5"/>
      <c r="AT252" s="5"/>
      <c r="AU252" s="5"/>
      <c r="AV252" s="5"/>
      <c r="AW252" s="5"/>
      <c r="AX252" s="5"/>
      <c r="AY252" s="5"/>
      <c r="BA252" s="5"/>
      <c r="BB252" s="5"/>
      <c r="BC252" s="5"/>
      <c r="BD252" s="5"/>
      <c r="BE252" s="5"/>
      <c r="BF252" s="5"/>
      <c r="BH252" s="5"/>
      <c r="BI252" s="5"/>
      <c r="BJ252" s="5"/>
      <c r="BK252" s="5"/>
      <c r="BL252" s="5"/>
      <c r="BM252" s="5"/>
      <c r="BO252" s="5"/>
      <c r="BP252" s="5"/>
      <c r="BQ252" s="5"/>
      <c r="BR252" s="5"/>
      <c r="BS252" s="5"/>
      <c r="BU252" s="4"/>
      <c r="BV252" s="4"/>
      <c r="BW252" s="4"/>
      <c r="BX252" s="4"/>
    </row>
    <row r="253" spans="4:76" ht="15.75" customHeight="1">
      <c r="D253" s="5"/>
      <c r="E253" s="5"/>
      <c r="F253" s="5"/>
      <c r="G253" s="5"/>
      <c r="H253" s="5"/>
      <c r="I253" s="5"/>
      <c r="K253" s="5"/>
      <c r="L253" s="5"/>
      <c r="M253" s="5"/>
      <c r="N253" s="5"/>
      <c r="O253" s="5"/>
      <c r="P253" s="5"/>
      <c r="R253" s="5"/>
      <c r="S253" s="5"/>
      <c r="T253" s="5"/>
      <c r="U253" s="5"/>
      <c r="V253" s="5"/>
      <c r="W253" s="5"/>
      <c r="Y253" s="5"/>
      <c r="Z253" s="5"/>
      <c r="AA253" s="5"/>
      <c r="AB253" s="5"/>
      <c r="AC253" s="5"/>
      <c r="AD253" s="5"/>
      <c r="AF253" s="5"/>
      <c r="AG253" s="5"/>
      <c r="AH253" s="5"/>
      <c r="AI253" s="5"/>
      <c r="AJ253" s="5"/>
      <c r="AK253" s="5"/>
      <c r="AM253" s="5"/>
      <c r="AN253" s="5"/>
      <c r="AO253" s="5"/>
      <c r="AP253" s="5"/>
      <c r="AQ253" s="5"/>
      <c r="AR253" s="5"/>
      <c r="AT253" s="5"/>
      <c r="AU253" s="5"/>
      <c r="AV253" s="5"/>
      <c r="AW253" s="5"/>
      <c r="AX253" s="5"/>
      <c r="AY253" s="5"/>
      <c r="BA253" s="5"/>
      <c r="BB253" s="5"/>
      <c r="BC253" s="5"/>
      <c r="BD253" s="5"/>
      <c r="BE253" s="5"/>
      <c r="BF253" s="5"/>
      <c r="BH253" s="5"/>
      <c r="BI253" s="5"/>
      <c r="BJ253" s="5"/>
      <c r="BK253" s="5"/>
      <c r="BL253" s="5"/>
      <c r="BM253" s="5"/>
      <c r="BO253" s="5"/>
      <c r="BP253" s="5"/>
      <c r="BQ253" s="5"/>
      <c r="BR253" s="5"/>
      <c r="BS253" s="5"/>
      <c r="BU253" s="4"/>
      <c r="BV253" s="4"/>
      <c r="BW253" s="4"/>
      <c r="BX253" s="4"/>
    </row>
    <row r="254" spans="4:76" ht="15.75" customHeight="1">
      <c r="D254" s="5"/>
      <c r="E254" s="5"/>
      <c r="F254" s="5"/>
      <c r="G254" s="5"/>
      <c r="H254" s="5"/>
      <c r="I254" s="5"/>
      <c r="K254" s="5"/>
      <c r="L254" s="5"/>
      <c r="M254" s="5"/>
      <c r="N254" s="5"/>
      <c r="O254" s="5"/>
      <c r="P254" s="5"/>
      <c r="R254" s="5"/>
      <c r="S254" s="5"/>
      <c r="T254" s="5"/>
      <c r="U254" s="5"/>
      <c r="V254" s="5"/>
      <c r="W254" s="5"/>
      <c r="Y254" s="5"/>
      <c r="Z254" s="5"/>
      <c r="AA254" s="5"/>
      <c r="AB254" s="5"/>
      <c r="AC254" s="5"/>
      <c r="AD254" s="5"/>
      <c r="AF254" s="5"/>
      <c r="AG254" s="5"/>
      <c r="AH254" s="5"/>
      <c r="AI254" s="5"/>
      <c r="AJ254" s="5"/>
      <c r="AK254" s="5"/>
      <c r="AM254" s="5"/>
      <c r="AN254" s="5"/>
      <c r="AO254" s="5"/>
      <c r="AP254" s="5"/>
      <c r="AQ254" s="5"/>
      <c r="AR254" s="5"/>
      <c r="AT254" s="5"/>
      <c r="AU254" s="5"/>
      <c r="AV254" s="5"/>
      <c r="AW254" s="5"/>
      <c r="AX254" s="5"/>
      <c r="AY254" s="5"/>
      <c r="BA254" s="5"/>
      <c r="BB254" s="5"/>
      <c r="BC254" s="5"/>
      <c r="BD254" s="5"/>
      <c r="BE254" s="5"/>
      <c r="BF254" s="5"/>
      <c r="BH254" s="5"/>
      <c r="BI254" s="5"/>
      <c r="BJ254" s="5"/>
      <c r="BK254" s="5"/>
      <c r="BL254" s="5"/>
      <c r="BM254" s="5"/>
      <c r="BO254" s="5"/>
      <c r="BP254" s="5"/>
      <c r="BQ254" s="5"/>
      <c r="BR254" s="5"/>
      <c r="BS254" s="5"/>
      <c r="BU254" s="4"/>
      <c r="BV254" s="4"/>
      <c r="BW254" s="4"/>
      <c r="BX254" s="4"/>
    </row>
    <row r="255" spans="4:76" ht="15.75" customHeight="1">
      <c r="D255" s="5"/>
      <c r="E255" s="5"/>
      <c r="F255" s="5"/>
      <c r="G255" s="5"/>
      <c r="H255" s="5"/>
      <c r="I255" s="5"/>
      <c r="K255" s="5"/>
      <c r="L255" s="5"/>
      <c r="M255" s="5"/>
      <c r="N255" s="5"/>
      <c r="O255" s="5"/>
      <c r="P255" s="5"/>
      <c r="R255" s="5"/>
      <c r="S255" s="5"/>
      <c r="T255" s="5"/>
      <c r="U255" s="5"/>
      <c r="V255" s="5"/>
      <c r="W255" s="5"/>
      <c r="Y255" s="5"/>
      <c r="Z255" s="5"/>
      <c r="AA255" s="5"/>
      <c r="AB255" s="5"/>
      <c r="AC255" s="5"/>
      <c r="AD255" s="5"/>
      <c r="AF255" s="5"/>
      <c r="AG255" s="5"/>
      <c r="AH255" s="5"/>
      <c r="AI255" s="5"/>
      <c r="AJ255" s="5"/>
      <c r="AK255" s="5"/>
      <c r="AM255" s="5"/>
      <c r="AN255" s="5"/>
      <c r="AO255" s="5"/>
      <c r="AP255" s="5"/>
      <c r="AQ255" s="5"/>
      <c r="AR255" s="5"/>
      <c r="AT255" s="5"/>
      <c r="AU255" s="5"/>
      <c r="AV255" s="5"/>
      <c r="AW255" s="5"/>
      <c r="AX255" s="5"/>
      <c r="AY255" s="5"/>
      <c r="BA255" s="5"/>
      <c r="BB255" s="5"/>
      <c r="BC255" s="5"/>
      <c r="BD255" s="5"/>
      <c r="BE255" s="5"/>
      <c r="BF255" s="5"/>
      <c r="BH255" s="5"/>
      <c r="BI255" s="5"/>
      <c r="BJ255" s="5"/>
      <c r="BK255" s="5"/>
      <c r="BL255" s="5"/>
      <c r="BM255" s="5"/>
      <c r="BO255" s="5"/>
      <c r="BP255" s="5"/>
      <c r="BQ255" s="5"/>
      <c r="BR255" s="5"/>
      <c r="BS255" s="5"/>
      <c r="BU255" s="4"/>
      <c r="BV255" s="4"/>
      <c r="BW255" s="4"/>
      <c r="BX255" s="4"/>
    </row>
    <row r="256" spans="4:76" ht="15.75" customHeight="1">
      <c r="D256" s="5"/>
      <c r="E256" s="5"/>
      <c r="F256" s="5"/>
      <c r="G256" s="5"/>
      <c r="H256" s="5"/>
      <c r="I256" s="5"/>
      <c r="K256" s="5"/>
      <c r="L256" s="5"/>
      <c r="M256" s="5"/>
      <c r="N256" s="5"/>
      <c r="O256" s="5"/>
      <c r="P256" s="5"/>
      <c r="R256" s="5"/>
      <c r="S256" s="5"/>
      <c r="T256" s="5"/>
      <c r="U256" s="5"/>
      <c r="V256" s="5"/>
      <c r="W256" s="5"/>
      <c r="Y256" s="5"/>
      <c r="Z256" s="5"/>
      <c r="AA256" s="5"/>
      <c r="AB256" s="5"/>
      <c r="AC256" s="5"/>
      <c r="AD256" s="5"/>
      <c r="AF256" s="5"/>
      <c r="AG256" s="5"/>
      <c r="AH256" s="5"/>
      <c r="AI256" s="5"/>
      <c r="AJ256" s="5"/>
      <c r="AK256" s="5"/>
      <c r="AM256" s="5"/>
      <c r="AN256" s="5"/>
      <c r="AO256" s="5"/>
      <c r="AP256" s="5"/>
      <c r="AQ256" s="5"/>
      <c r="AR256" s="5"/>
      <c r="AT256" s="5"/>
      <c r="AU256" s="5"/>
      <c r="AV256" s="5"/>
      <c r="AW256" s="5"/>
      <c r="AX256" s="5"/>
      <c r="AY256" s="5"/>
      <c r="BA256" s="5"/>
      <c r="BB256" s="5"/>
      <c r="BC256" s="5"/>
      <c r="BD256" s="5"/>
      <c r="BE256" s="5"/>
      <c r="BF256" s="5"/>
      <c r="BH256" s="5"/>
      <c r="BI256" s="5"/>
      <c r="BJ256" s="5"/>
      <c r="BK256" s="5"/>
      <c r="BL256" s="5"/>
      <c r="BM256" s="5"/>
      <c r="BO256" s="5"/>
      <c r="BP256" s="5"/>
      <c r="BQ256" s="5"/>
      <c r="BR256" s="5"/>
      <c r="BS256" s="5"/>
      <c r="BU256" s="4"/>
      <c r="BV256" s="4"/>
      <c r="BW256" s="4"/>
      <c r="BX256" s="4"/>
    </row>
    <row r="257" spans="4:76" ht="15.75" customHeight="1">
      <c r="D257" s="5"/>
      <c r="E257" s="5"/>
      <c r="F257" s="5"/>
      <c r="G257" s="5"/>
      <c r="H257" s="5"/>
      <c r="I257" s="5"/>
      <c r="K257" s="5"/>
      <c r="L257" s="5"/>
      <c r="M257" s="5"/>
      <c r="N257" s="5"/>
      <c r="O257" s="5"/>
      <c r="P257" s="5"/>
      <c r="R257" s="5"/>
      <c r="S257" s="5"/>
      <c r="T257" s="5"/>
      <c r="U257" s="5"/>
      <c r="V257" s="5"/>
      <c r="W257" s="5"/>
      <c r="Y257" s="5"/>
      <c r="Z257" s="5"/>
      <c r="AA257" s="5"/>
      <c r="AB257" s="5"/>
      <c r="AC257" s="5"/>
      <c r="AD257" s="5"/>
      <c r="AF257" s="5"/>
      <c r="AG257" s="5"/>
      <c r="AH257" s="5"/>
      <c r="AI257" s="5"/>
      <c r="AJ257" s="5"/>
      <c r="AK257" s="5"/>
      <c r="AM257" s="5"/>
      <c r="AN257" s="5"/>
      <c r="AO257" s="5"/>
      <c r="AP257" s="5"/>
      <c r="AQ257" s="5"/>
      <c r="AR257" s="5"/>
      <c r="AT257" s="5"/>
      <c r="AU257" s="5"/>
      <c r="AV257" s="5"/>
      <c r="AW257" s="5"/>
      <c r="AX257" s="5"/>
      <c r="AY257" s="5"/>
      <c r="BA257" s="5"/>
      <c r="BB257" s="5"/>
      <c r="BC257" s="5"/>
      <c r="BD257" s="5"/>
      <c r="BE257" s="5"/>
      <c r="BF257" s="5"/>
      <c r="BH257" s="5"/>
      <c r="BI257" s="5"/>
      <c r="BJ257" s="5"/>
      <c r="BK257" s="5"/>
      <c r="BL257" s="5"/>
      <c r="BM257" s="5"/>
      <c r="BO257" s="5"/>
      <c r="BP257" s="5"/>
      <c r="BQ257" s="5"/>
      <c r="BR257" s="5"/>
      <c r="BS257" s="5"/>
      <c r="BU257" s="4"/>
      <c r="BV257" s="4"/>
      <c r="BW257" s="4"/>
      <c r="BX257" s="4"/>
    </row>
    <row r="258" spans="4:76" ht="15.75" customHeight="1">
      <c r="D258" s="5"/>
      <c r="E258" s="5"/>
      <c r="F258" s="5"/>
      <c r="G258" s="5"/>
      <c r="H258" s="5"/>
      <c r="I258" s="5"/>
      <c r="K258" s="5"/>
      <c r="L258" s="5"/>
      <c r="M258" s="5"/>
      <c r="N258" s="5"/>
      <c r="O258" s="5"/>
      <c r="P258" s="5"/>
      <c r="R258" s="5"/>
      <c r="S258" s="5"/>
      <c r="T258" s="5"/>
      <c r="U258" s="5"/>
      <c r="V258" s="5"/>
      <c r="W258" s="5"/>
      <c r="Y258" s="5"/>
      <c r="Z258" s="5"/>
      <c r="AA258" s="5"/>
      <c r="AB258" s="5"/>
      <c r="AC258" s="5"/>
      <c r="AD258" s="5"/>
      <c r="AF258" s="5"/>
      <c r="AG258" s="5"/>
      <c r="AH258" s="5"/>
      <c r="AI258" s="5"/>
      <c r="AJ258" s="5"/>
      <c r="AK258" s="5"/>
      <c r="AM258" s="5"/>
      <c r="AN258" s="5"/>
      <c r="AO258" s="5"/>
      <c r="AP258" s="5"/>
      <c r="AQ258" s="5"/>
      <c r="AR258" s="5"/>
      <c r="AT258" s="5"/>
      <c r="AU258" s="5"/>
      <c r="AV258" s="5"/>
      <c r="AW258" s="5"/>
      <c r="AX258" s="5"/>
      <c r="AY258" s="5"/>
      <c r="BA258" s="5"/>
      <c r="BB258" s="5"/>
      <c r="BC258" s="5"/>
      <c r="BD258" s="5"/>
      <c r="BE258" s="5"/>
      <c r="BF258" s="5"/>
      <c r="BH258" s="5"/>
      <c r="BI258" s="5"/>
      <c r="BJ258" s="5"/>
      <c r="BK258" s="5"/>
      <c r="BL258" s="5"/>
      <c r="BM258" s="5"/>
      <c r="BO258" s="5"/>
      <c r="BP258" s="5"/>
      <c r="BQ258" s="5"/>
      <c r="BR258" s="5"/>
      <c r="BS258" s="5"/>
      <c r="BU258" s="4"/>
      <c r="BV258" s="4"/>
      <c r="BW258" s="4"/>
      <c r="BX258" s="4"/>
    </row>
    <row r="259" spans="4:76" ht="15.75" customHeight="1">
      <c r="D259" s="5"/>
      <c r="E259" s="5"/>
      <c r="F259" s="5"/>
      <c r="G259" s="5"/>
      <c r="H259" s="5"/>
      <c r="I259" s="5"/>
      <c r="K259" s="5"/>
      <c r="L259" s="5"/>
      <c r="M259" s="5"/>
      <c r="N259" s="5"/>
      <c r="O259" s="5"/>
      <c r="P259" s="5"/>
      <c r="R259" s="5"/>
      <c r="S259" s="5"/>
      <c r="T259" s="5"/>
      <c r="U259" s="5"/>
      <c r="V259" s="5"/>
      <c r="W259" s="5"/>
      <c r="Y259" s="5"/>
      <c r="Z259" s="5"/>
      <c r="AA259" s="5"/>
      <c r="AB259" s="5"/>
      <c r="AC259" s="5"/>
      <c r="AD259" s="5"/>
      <c r="AF259" s="5"/>
      <c r="AG259" s="5"/>
      <c r="AH259" s="5"/>
      <c r="AI259" s="5"/>
      <c r="AJ259" s="5"/>
      <c r="AK259" s="5"/>
      <c r="AM259" s="5"/>
      <c r="AN259" s="5"/>
      <c r="AO259" s="5"/>
      <c r="AP259" s="5"/>
      <c r="AQ259" s="5"/>
      <c r="AR259" s="5"/>
      <c r="AT259" s="5"/>
      <c r="AU259" s="5"/>
      <c r="AV259" s="5"/>
      <c r="AW259" s="5"/>
      <c r="AX259" s="5"/>
      <c r="AY259" s="5"/>
      <c r="BA259" s="5"/>
      <c r="BB259" s="5"/>
      <c r="BC259" s="5"/>
      <c r="BD259" s="5"/>
      <c r="BE259" s="5"/>
      <c r="BF259" s="5"/>
      <c r="BH259" s="5"/>
      <c r="BI259" s="5"/>
      <c r="BJ259" s="5"/>
      <c r="BK259" s="5"/>
      <c r="BL259" s="5"/>
      <c r="BM259" s="5"/>
      <c r="BO259" s="5"/>
      <c r="BP259" s="5"/>
      <c r="BQ259" s="5"/>
      <c r="BR259" s="5"/>
      <c r="BS259" s="5"/>
      <c r="BU259" s="4"/>
      <c r="BV259" s="4"/>
      <c r="BW259" s="4"/>
      <c r="BX259" s="4"/>
    </row>
    <row r="260" spans="4:76" ht="15.75" customHeight="1">
      <c r="D260" s="5"/>
      <c r="E260" s="5"/>
      <c r="F260" s="5"/>
      <c r="G260" s="5"/>
      <c r="H260" s="5"/>
      <c r="I260" s="5"/>
      <c r="K260" s="5"/>
      <c r="L260" s="5"/>
      <c r="M260" s="5"/>
      <c r="N260" s="5"/>
      <c r="O260" s="5"/>
      <c r="P260" s="5"/>
      <c r="R260" s="5"/>
      <c r="S260" s="5"/>
      <c r="T260" s="5"/>
      <c r="U260" s="5"/>
      <c r="V260" s="5"/>
      <c r="W260" s="5"/>
      <c r="Y260" s="5"/>
      <c r="Z260" s="5"/>
      <c r="AA260" s="5"/>
      <c r="AB260" s="5"/>
      <c r="AC260" s="5"/>
      <c r="AD260" s="5"/>
      <c r="AF260" s="5"/>
      <c r="AG260" s="5"/>
      <c r="AH260" s="5"/>
      <c r="AI260" s="5"/>
      <c r="AJ260" s="5"/>
      <c r="AK260" s="5"/>
      <c r="AM260" s="5"/>
      <c r="AN260" s="5"/>
      <c r="AO260" s="5"/>
      <c r="AP260" s="5"/>
      <c r="AQ260" s="5"/>
      <c r="AR260" s="5"/>
      <c r="AT260" s="5"/>
      <c r="AU260" s="5"/>
      <c r="AV260" s="5"/>
      <c r="AW260" s="5"/>
      <c r="AX260" s="5"/>
      <c r="AY260" s="5"/>
      <c r="BA260" s="5"/>
      <c r="BB260" s="5"/>
      <c r="BC260" s="5"/>
      <c r="BD260" s="5"/>
      <c r="BE260" s="5"/>
      <c r="BF260" s="5"/>
      <c r="BH260" s="5"/>
      <c r="BI260" s="5"/>
      <c r="BJ260" s="5"/>
      <c r="BK260" s="5"/>
      <c r="BL260" s="5"/>
      <c r="BM260" s="5"/>
      <c r="BO260" s="5"/>
      <c r="BP260" s="5"/>
      <c r="BQ260" s="5"/>
      <c r="BR260" s="5"/>
      <c r="BS260" s="5"/>
      <c r="BU260" s="4"/>
      <c r="BV260" s="4"/>
      <c r="BW260" s="4"/>
      <c r="BX260" s="4"/>
    </row>
    <row r="261" spans="4:76" ht="15.75" customHeight="1">
      <c r="D261" s="5"/>
      <c r="E261" s="5"/>
      <c r="F261" s="5"/>
      <c r="G261" s="5"/>
      <c r="H261" s="5"/>
      <c r="I261" s="5"/>
      <c r="K261" s="5"/>
      <c r="L261" s="5"/>
      <c r="M261" s="5"/>
      <c r="N261" s="5"/>
      <c r="O261" s="5"/>
      <c r="P261" s="5"/>
      <c r="R261" s="5"/>
      <c r="S261" s="5"/>
      <c r="T261" s="5"/>
      <c r="U261" s="5"/>
      <c r="V261" s="5"/>
      <c r="W261" s="5"/>
      <c r="Y261" s="5"/>
      <c r="Z261" s="5"/>
      <c r="AA261" s="5"/>
      <c r="AB261" s="5"/>
      <c r="AC261" s="5"/>
      <c r="AD261" s="5"/>
      <c r="AF261" s="5"/>
      <c r="AG261" s="5"/>
      <c r="AH261" s="5"/>
      <c r="AI261" s="5"/>
      <c r="AJ261" s="5"/>
      <c r="AK261" s="5"/>
      <c r="AM261" s="5"/>
      <c r="AN261" s="5"/>
      <c r="AO261" s="5"/>
      <c r="AP261" s="5"/>
      <c r="AQ261" s="5"/>
      <c r="AR261" s="5"/>
      <c r="AT261" s="5"/>
      <c r="AU261" s="5"/>
      <c r="AV261" s="5"/>
      <c r="AW261" s="5"/>
      <c r="AX261" s="5"/>
      <c r="AY261" s="5"/>
      <c r="BA261" s="5"/>
      <c r="BB261" s="5"/>
      <c r="BC261" s="5"/>
      <c r="BD261" s="5"/>
      <c r="BE261" s="5"/>
      <c r="BF261" s="5"/>
      <c r="BH261" s="5"/>
      <c r="BI261" s="5"/>
      <c r="BJ261" s="5"/>
      <c r="BK261" s="5"/>
      <c r="BL261" s="5"/>
      <c r="BM261" s="5"/>
      <c r="BO261" s="5"/>
      <c r="BP261" s="5"/>
      <c r="BQ261" s="5"/>
      <c r="BR261" s="5"/>
      <c r="BS261" s="5"/>
      <c r="BU261" s="4"/>
      <c r="BV261" s="4"/>
      <c r="BW261" s="4"/>
      <c r="BX261" s="4"/>
    </row>
    <row r="262" spans="4:76" ht="15.75" customHeight="1">
      <c r="D262" s="5"/>
      <c r="E262" s="5"/>
      <c r="F262" s="5"/>
      <c r="G262" s="5"/>
      <c r="H262" s="5"/>
      <c r="I262" s="5"/>
      <c r="K262" s="5"/>
      <c r="L262" s="5"/>
      <c r="M262" s="5"/>
      <c r="N262" s="5"/>
      <c r="O262" s="5"/>
      <c r="P262" s="5"/>
      <c r="R262" s="5"/>
      <c r="S262" s="5"/>
      <c r="T262" s="5"/>
      <c r="U262" s="5"/>
      <c r="V262" s="5"/>
      <c r="W262" s="5"/>
      <c r="Y262" s="5"/>
      <c r="Z262" s="5"/>
      <c r="AA262" s="5"/>
      <c r="AB262" s="5"/>
      <c r="AC262" s="5"/>
      <c r="AD262" s="5"/>
      <c r="AF262" s="5"/>
      <c r="AG262" s="5"/>
      <c r="AH262" s="5"/>
      <c r="AI262" s="5"/>
      <c r="AJ262" s="5"/>
      <c r="AK262" s="5"/>
      <c r="AM262" s="5"/>
      <c r="AN262" s="5"/>
      <c r="AO262" s="5"/>
      <c r="AP262" s="5"/>
      <c r="AQ262" s="5"/>
      <c r="AR262" s="5"/>
      <c r="AT262" s="5"/>
      <c r="AU262" s="5"/>
      <c r="AV262" s="5"/>
      <c r="AW262" s="5"/>
      <c r="AX262" s="5"/>
      <c r="AY262" s="5"/>
      <c r="BA262" s="5"/>
      <c r="BB262" s="5"/>
      <c r="BC262" s="5"/>
      <c r="BD262" s="5"/>
      <c r="BE262" s="5"/>
      <c r="BF262" s="5"/>
      <c r="BH262" s="5"/>
      <c r="BI262" s="5"/>
      <c r="BJ262" s="5"/>
      <c r="BK262" s="5"/>
      <c r="BL262" s="5"/>
      <c r="BM262" s="5"/>
      <c r="BO262" s="5"/>
      <c r="BP262" s="5"/>
      <c r="BQ262" s="5"/>
      <c r="BR262" s="5"/>
      <c r="BS262" s="5"/>
      <c r="BU262" s="4"/>
      <c r="BV262" s="4"/>
      <c r="BW262" s="4"/>
      <c r="BX262" s="4"/>
    </row>
    <row r="263" spans="4:76" ht="15.75" customHeight="1">
      <c r="D263" s="5"/>
      <c r="E263" s="5"/>
      <c r="F263" s="5"/>
      <c r="G263" s="5"/>
      <c r="H263" s="5"/>
      <c r="I263" s="5"/>
      <c r="K263" s="5"/>
      <c r="L263" s="5"/>
      <c r="M263" s="5"/>
      <c r="N263" s="5"/>
      <c r="O263" s="5"/>
      <c r="P263" s="5"/>
      <c r="R263" s="5"/>
      <c r="S263" s="5"/>
      <c r="T263" s="5"/>
      <c r="U263" s="5"/>
      <c r="V263" s="5"/>
      <c r="W263" s="5"/>
      <c r="Y263" s="5"/>
      <c r="Z263" s="5"/>
      <c r="AA263" s="5"/>
      <c r="AB263" s="5"/>
      <c r="AC263" s="5"/>
      <c r="AD263" s="5"/>
      <c r="AF263" s="5"/>
      <c r="AG263" s="5"/>
      <c r="AH263" s="5"/>
      <c r="AI263" s="5"/>
      <c r="AJ263" s="5"/>
      <c r="AK263" s="5"/>
      <c r="AM263" s="5"/>
      <c r="AN263" s="5"/>
      <c r="AO263" s="5"/>
      <c r="AP263" s="5"/>
      <c r="AQ263" s="5"/>
      <c r="AR263" s="5"/>
      <c r="AT263" s="5"/>
      <c r="AU263" s="5"/>
      <c r="AV263" s="5"/>
      <c r="AW263" s="5"/>
      <c r="AX263" s="5"/>
      <c r="AY263" s="5"/>
      <c r="BA263" s="5"/>
      <c r="BB263" s="5"/>
      <c r="BC263" s="5"/>
      <c r="BD263" s="5"/>
      <c r="BE263" s="5"/>
      <c r="BF263" s="5"/>
      <c r="BH263" s="5"/>
      <c r="BI263" s="5"/>
      <c r="BJ263" s="5"/>
      <c r="BK263" s="5"/>
      <c r="BL263" s="5"/>
      <c r="BM263" s="5"/>
      <c r="BO263" s="5"/>
      <c r="BP263" s="5"/>
      <c r="BQ263" s="5"/>
      <c r="BR263" s="5"/>
      <c r="BS263" s="5"/>
      <c r="BU263" s="4"/>
      <c r="BV263" s="4"/>
      <c r="BW263" s="4"/>
      <c r="BX263" s="4"/>
    </row>
    <row r="264" spans="4:76" ht="15.75" customHeight="1">
      <c r="D264" s="5"/>
      <c r="E264" s="5"/>
      <c r="F264" s="5"/>
      <c r="G264" s="5"/>
      <c r="H264" s="5"/>
      <c r="I264" s="5"/>
      <c r="K264" s="5"/>
      <c r="L264" s="5"/>
      <c r="M264" s="5"/>
      <c r="N264" s="5"/>
      <c r="O264" s="5"/>
      <c r="P264" s="5"/>
      <c r="R264" s="5"/>
      <c r="S264" s="5"/>
      <c r="T264" s="5"/>
      <c r="U264" s="5"/>
      <c r="V264" s="5"/>
      <c r="W264" s="5"/>
      <c r="Y264" s="5"/>
      <c r="Z264" s="5"/>
      <c r="AA264" s="5"/>
      <c r="AB264" s="5"/>
      <c r="AC264" s="5"/>
      <c r="AD264" s="5"/>
      <c r="AF264" s="5"/>
      <c r="AG264" s="5"/>
      <c r="AH264" s="5"/>
      <c r="AI264" s="5"/>
      <c r="AJ264" s="5"/>
      <c r="AK264" s="5"/>
      <c r="AM264" s="5"/>
      <c r="AN264" s="5"/>
      <c r="AO264" s="5"/>
      <c r="AP264" s="5"/>
      <c r="AQ264" s="5"/>
      <c r="AR264" s="5"/>
      <c r="AT264" s="5"/>
      <c r="AU264" s="5"/>
      <c r="AV264" s="5"/>
      <c r="AW264" s="5"/>
      <c r="AX264" s="5"/>
      <c r="AY264" s="5"/>
      <c r="BA264" s="5"/>
      <c r="BB264" s="5"/>
      <c r="BC264" s="5"/>
      <c r="BD264" s="5"/>
      <c r="BE264" s="5"/>
      <c r="BF264" s="5"/>
      <c r="BH264" s="5"/>
      <c r="BI264" s="5"/>
      <c r="BJ264" s="5"/>
      <c r="BK264" s="5"/>
      <c r="BL264" s="5"/>
      <c r="BM264" s="5"/>
      <c r="BO264" s="5"/>
      <c r="BP264" s="5"/>
      <c r="BQ264" s="5"/>
      <c r="BR264" s="5"/>
      <c r="BS264" s="5"/>
      <c r="BU264" s="4"/>
      <c r="BV264" s="4"/>
      <c r="BW264" s="4"/>
      <c r="BX264" s="4"/>
    </row>
    <row r="265" spans="4:76" ht="15.75" customHeight="1">
      <c r="D265" s="5"/>
      <c r="E265" s="5"/>
      <c r="F265" s="5"/>
      <c r="G265" s="5"/>
      <c r="H265" s="5"/>
      <c r="I265" s="5"/>
      <c r="K265" s="5"/>
      <c r="L265" s="5"/>
      <c r="M265" s="5"/>
      <c r="N265" s="5"/>
      <c r="O265" s="5"/>
      <c r="P265" s="5"/>
      <c r="R265" s="5"/>
      <c r="S265" s="5"/>
      <c r="T265" s="5"/>
      <c r="U265" s="5"/>
      <c r="V265" s="5"/>
      <c r="W265" s="5"/>
      <c r="Y265" s="5"/>
      <c r="Z265" s="5"/>
      <c r="AA265" s="5"/>
      <c r="AB265" s="5"/>
      <c r="AC265" s="5"/>
      <c r="AD265" s="5"/>
      <c r="AF265" s="5"/>
      <c r="AG265" s="5"/>
      <c r="AH265" s="5"/>
      <c r="AI265" s="5"/>
      <c r="AJ265" s="5"/>
      <c r="AK265" s="5"/>
      <c r="AM265" s="5"/>
      <c r="AN265" s="5"/>
      <c r="AO265" s="5"/>
      <c r="AP265" s="5"/>
      <c r="AQ265" s="5"/>
      <c r="AR265" s="5"/>
      <c r="AT265" s="5"/>
      <c r="AU265" s="5"/>
      <c r="AV265" s="5"/>
      <c r="AW265" s="5"/>
      <c r="AX265" s="5"/>
      <c r="AY265" s="5"/>
      <c r="BA265" s="5"/>
      <c r="BB265" s="5"/>
      <c r="BC265" s="5"/>
      <c r="BD265" s="5"/>
      <c r="BE265" s="5"/>
      <c r="BF265" s="5"/>
      <c r="BH265" s="5"/>
      <c r="BI265" s="5"/>
      <c r="BJ265" s="5"/>
      <c r="BK265" s="5"/>
      <c r="BL265" s="5"/>
      <c r="BM265" s="5"/>
      <c r="BO265" s="5"/>
      <c r="BP265" s="5"/>
      <c r="BQ265" s="5"/>
      <c r="BR265" s="5"/>
      <c r="BS265" s="5"/>
      <c r="BU265" s="4"/>
      <c r="BV265" s="4"/>
      <c r="BW265" s="4"/>
      <c r="BX265" s="4"/>
    </row>
    <row r="266" spans="4:76" ht="15.75" customHeight="1">
      <c r="D266" s="5"/>
      <c r="E266" s="5"/>
      <c r="F266" s="5"/>
      <c r="G266" s="5"/>
      <c r="H266" s="5"/>
      <c r="I266" s="5"/>
      <c r="K266" s="5"/>
      <c r="L266" s="5"/>
      <c r="M266" s="5"/>
      <c r="N266" s="5"/>
      <c r="O266" s="5"/>
      <c r="P266" s="5"/>
      <c r="R266" s="5"/>
      <c r="S266" s="5"/>
      <c r="T266" s="5"/>
      <c r="U266" s="5"/>
      <c r="V266" s="5"/>
      <c r="W266" s="5"/>
      <c r="Y266" s="5"/>
      <c r="Z266" s="5"/>
      <c r="AA266" s="5"/>
      <c r="AB266" s="5"/>
      <c r="AC266" s="5"/>
      <c r="AD266" s="5"/>
      <c r="AF266" s="5"/>
      <c r="AG266" s="5"/>
      <c r="AH266" s="5"/>
      <c r="AI266" s="5"/>
      <c r="AJ266" s="5"/>
      <c r="AK266" s="5"/>
      <c r="AM266" s="5"/>
      <c r="AN266" s="5"/>
      <c r="AO266" s="5"/>
      <c r="AP266" s="5"/>
      <c r="AQ266" s="5"/>
      <c r="AR266" s="5"/>
      <c r="AT266" s="5"/>
      <c r="AU266" s="5"/>
      <c r="AV266" s="5"/>
      <c r="AW266" s="5"/>
      <c r="AX266" s="5"/>
      <c r="AY266" s="5"/>
      <c r="BA266" s="5"/>
      <c r="BB266" s="5"/>
      <c r="BC266" s="5"/>
      <c r="BD266" s="5"/>
      <c r="BE266" s="5"/>
      <c r="BF266" s="5"/>
      <c r="BH266" s="5"/>
      <c r="BI266" s="5"/>
      <c r="BJ266" s="5"/>
      <c r="BK266" s="5"/>
      <c r="BL266" s="5"/>
      <c r="BM266" s="5"/>
      <c r="BO266" s="5"/>
      <c r="BP266" s="5"/>
      <c r="BQ266" s="5"/>
      <c r="BR266" s="5"/>
      <c r="BS266" s="5"/>
      <c r="BU266" s="4"/>
      <c r="BV266" s="4"/>
      <c r="BW266" s="4"/>
      <c r="BX266" s="4"/>
    </row>
    <row r="267" spans="4:76" ht="15.75" customHeight="1">
      <c r="D267" s="5"/>
      <c r="E267" s="5"/>
      <c r="F267" s="5"/>
      <c r="G267" s="5"/>
      <c r="H267" s="5"/>
      <c r="I267" s="5"/>
      <c r="K267" s="5"/>
      <c r="L267" s="5"/>
      <c r="M267" s="5"/>
      <c r="N267" s="5"/>
      <c r="O267" s="5"/>
      <c r="P267" s="5"/>
      <c r="R267" s="5"/>
      <c r="S267" s="5"/>
      <c r="T267" s="5"/>
      <c r="U267" s="5"/>
      <c r="V267" s="5"/>
      <c r="W267" s="5"/>
      <c r="Y267" s="5"/>
      <c r="Z267" s="5"/>
      <c r="AA267" s="5"/>
      <c r="AB267" s="5"/>
      <c r="AC267" s="5"/>
      <c r="AD267" s="5"/>
      <c r="AF267" s="5"/>
      <c r="AG267" s="5"/>
      <c r="AH267" s="5"/>
      <c r="AI267" s="5"/>
      <c r="AJ267" s="5"/>
      <c r="AK267" s="5"/>
      <c r="AM267" s="5"/>
      <c r="AN267" s="5"/>
      <c r="AO267" s="5"/>
      <c r="AP267" s="5"/>
      <c r="AQ267" s="5"/>
      <c r="AR267" s="5"/>
      <c r="AT267" s="5"/>
      <c r="AU267" s="5"/>
      <c r="AV267" s="5"/>
      <c r="AW267" s="5"/>
      <c r="AX267" s="5"/>
      <c r="AY267" s="5"/>
      <c r="BA267" s="5"/>
      <c r="BB267" s="5"/>
      <c r="BC267" s="5"/>
      <c r="BD267" s="5"/>
      <c r="BE267" s="5"/>
      <c r="BF267" s="5"/>
      <c r="BH267" s="5"/>
      <c r="BI267" s="5"/>
      <c r="BJ267" s="5"/>
      <c r="BK267" s="5"/>
      <c r="BL267" s="5"/>
      <c r="BM267" s="5"/>
      <c r="BO267" s="5"/>
      <c r="BP267" s="5"/>
      <c r="BQ267" s="5"/>
      <c r="BR267" s="5"/>
      <c r="BS267" s="5"/>
      <c r="BU267" s="4"/>
      <c r="BV267" s="4"/>
      <c r="BW267" s="4"/>
      <c r="BX267" s="4"/>
    </row>
    <row r="268" spans="4:76" ht="15.75" customHeight="1">
      <c r="D268" s="5"/>
      <c r="E268" s="5"/>
      <c r="F268" s="5"/>
      <c r="G268" s="5"/>
      <c r="H268" s="5"/>
      <c r="I268" s="5"/>
      <c r="K268" s="5"/>
      <c r="L268" s="5"/>
      <c r="M268" s="5"/>
      <c r="N268" s="5"/>
      <c r="O268" s="5"/>
      <c r="P268" s="5"/>
      <c r="R268" s="5"/>
      <c r="S268" s="5"/>
      <c r="T268" s="5"/>
      <c r="U268" s="5"/>
      <c r="V268" s="5"/>
      <c r="W268" s="5"/>
      <c r="Y268" s="5"/>
      <c r="Z268" s="5"/>
      <c r="AA268" s="5"/>
      <c r="AB268" s="5"/>
      <c r="AC268" s="5"/>
      <c r="AD268" s="5"/>
      <c r="AF268" s="5"/>
      <c r="AG268" s="5"/>
      <c r="AH268" s="5"/>
      <c r="AI268" s="5"/>
      <c r="AJ268" s="5"/>
      <c r="AK268" s="5"/>
      <c r="AM268" s="5"/>
      <c r="AN268" s="5"/>
      <c r="AO268" s="5"/>
      <c r="AP268" s="5"/>
      <c r="AQ268" s="5"/>
      <c r="AR268" s="5"/>
      <c r="AT268" s="5"/>
      <c r="AU268" s="5"/>
      <c r="AV268" s="5"/>
      <c r="AW268" s="5"/>
      <c r="AX268" s="5"/>
      <c r="AY268" s="5"/>
      <c r="BA268" s="5"/>
      <c r="BB268" s="5"/>
      <c r="BC268" s="5"/>
      <c r="BD268" s="5"/>
      <c r="BE268" s="5"/>
      <c r="BF268" s="5"/>
      <c r="BH268" s="5"/>
      <c r="BI268" s="5"/>
      <c r="BJ268" s="5"/>
      <c r="BK268" s="5"/>
      <c r="BL268" s="5"/>
      <c r="BM268" s="5"/>
      <c r="BO268" s="5"/>
      <c r="BP268" s="5"/>
      <c r="BQ268" s="5"/>
      <c r="BR268" s="5"/>
      <c r="BS268" s="5"/>
      <c r="BU268" s="4"/>
      <c r="BV268" s="4"/>
      <c r="BW268" s="4"/>
      <c r="BX268" s="4"/>
    </row>
    <row r="269" spans="4:76" ht="15.75" customHeight="1">
      <c r="D269" s="5"/>
      <c r="E269" s="5"/>
      <c r="F269" s="5"/>
      <c r="G269" s="5"/>
      <c r="H269" s="5"/>
      <c r="I269" s="5"/>
      <c r="K269" s="5"/>
      <c r="L269" s="5"/>
      <c r="M269" s="5"/>
      <c r="N269" s="5"/>
      <c r="O269" s="5"/>
      <c r="P269" s="5"/>
      <c r="R269" s="5"/>
      <c r="S269" s="5"/>
      <c r="T269" s="5"/>
      <c r="U269" s="5"/>
      <c r="V269" s="5"/>
      <c r="W269" s="5"/>
      <c r="Y269" s="5"/>
      <c r="Z269" s="5"/>
      <c r="AA269" s="5"/>
      <c r="AB269" s="5"/>
      <c r="AC269" s="5"/>
      <c r="AD269" s="5"/>
      <c r="AF269" s="5"/>
      <c r="AG269" s="5"/>
      <c r="AH269" s="5"/>
      <c r="AI269" s="5"/>
      <c r="AJ269" s="5"/>
      <c r="AK269" s="5"/>
      <c r="AM269" s="5"/>
      <c r="AN269" s="5"/>
      <c r="AO269" s="5"/>
      <c r="AP269" s="5"/>
      <c r="AQ269" s="5"/>
      <c r="AR269" s="5"/>
      <c r="AT269" s="5"/>
      <c r="AU269" s="5"/>
      <c r="AV269" s="5"/>
      <c r="AW269" s="5"/>
      <c r="AX269" s="5"/>
      <c r="AY269" s="5"/>
      <c r="BA269" s="5"/>
      <c r="BB269" s="5"/>
      <c r="BC269" s="5"/>
      <c r="BD269" s="5"/>
      <c r="BE269" s="5"/>
      <c r="BF269" s="5"/>
      <c r="BH269" s="5"/>
      <c r="BI269" s="5"/>
      <c r="BJ269" s="5"/>
      <c r="BK269" s="5"/>
      <c r="BL269" s="5"/>
      <c r="BM269" s="5"/>
      <c r="BO269" s="5"/>
      <c r="BP269" s="5"/>
      <c r="BQ269" s="5"/>
      <c r="BR269" s="5"/>
      <c r="BS269" s="5"/>
      <c r="BU269" s="4"/>
      <c r="BV269" s="4"/>
      <c r="BW269" s="4"/>
      <c r="BX269" s="4"/>
    </row>
    <row r="270" spans="4:76" ht="15.75" customHeight="1">
      <c r="D270" s="5"/>
      <c r="E270" s="5"/>
      <c r="F270" s="5"/>
      <c r="G270" s="5"/>
      <c r="H270" s="5"/>
      <c r="I270" s="5"/>
      <c r="K270" s="5"/>
      <c r="L270" s="5"/>
      <c r="M270" s="5"/>
      <c r="N270" s="5"/>
      <c r="O270" s="5"/>
      <c r="P270" s="5"/>
      <c r="R270" s="5"/>
      <c r="S270" s="5"/>
      <c r="T270" s="5"/>
      <c r="U270" s="5"/>
      <c r="V270" s="5"/>
      <c r="W270" s="5"/>
      <c r="Y270" s="5"/>
      <c r="Z270" s="5"/>
      <c r="AA270" s="5"/>
      <c r="AB270" s="5"/>
      <c r="AC270" s="5"/>
      <c r="AD270" s="5"/>
      <c r="AF270" s="5"/>
      <c r="AG270" s="5"/>
      <c r="AH270" s="5"/>
      <c r="AI270" s="5"/>
      <c r="AJ270" s="5"/>
      <c r="AK270" s="5"/>
      <c r="AM270" s="5"/>
      <c r="AN270" s="5"/>
      <c r="AO270" s="5"/>
      <c r="AP270" s="5"/>
      <c r="AQ270" s="5"/>
      <c r="AR270" s="5"/>
      <c r="AT270" s="5"/>
      <c r="AU270" s="5"/>
      <c r="AV270" s="5"/>
      <c r="AW270" s="5"/>
      <c r="AX270" s="5"/>
      <c r="AY270" s="5"/>
      <c r="BA270" s="5"/>
      <c r="BB270" s="5"/>
      <c r="BC270" s="5"/>
      <c r="BD270" s="5"/>
      <c r="BE270" s="5"/>
      <c r="BF270" s="5"/>
      <c r="BH270" s="5"/>
      <c r="BI270" s="5"/>
      <c r="BJ270" s="5"/>
      <c r="BK270" s="5"/>
      <c r="BL270" s="5"/>
      <c r="BM270" s="5"/>
      <c r="BO270" s="5"/>
      <c r="BP270" s="5"/>
      <c r="BQ270" s="5"/>
      <c r="BR270" s="5"/>
      <c r="BS270" s="5"/>
      <c r="BU270" s="4"/>
      <c r="BV270" s="4"/>
      <c r="BW270" s="4"/>
      <c r="BX270" s="4"/>
    </row>
    <row r="271" spans="4:76" ht="15.75" customHeight="1">
      <c r="D271" s="5"/>
      <c r="E271" s="5"/>
      <c r="F271" s="5"/>
      <c r="G271" s="5"/>
      <c r="H271" s="5"/>
      <c r="I271" s="5"/>
      <c r="K271" s="5"/>
      <c r="L271" s="5"/>
      <c r="M271" s="5"/>
      <c r="N271" s="5"/>
      <c r="O271" s="5"/>
      <c r="P271" s="5"/>
      <c r="R271" s="5"/>
      <c r="S271" s="5"/>
      <c r="T271" s="5"/>
      <c r="U271" s="5"/>
      <c r="V271" s="5"/>
      <c r="W271" s="5"/>
      <c r="Y271" s="5"/>
      <c r="Z271" s="5"/>
      <c r="AA271" s="5"/>
      <c r="AB271" s="5"/>
      <c r="AC271" s="5"/>
      <c r="AD271" s="5"/>
      <c r="AF271" s="5"/>
      <c r="AG271" s="5"/>
      <c r="AH271" s="5"/>
      <c r="AI271" s="5"/>
      <c r="AJ271" s="5"/>
      <c r="AK271" s="5"/>
      <c r="AM271" s="5"/>
      <c r="AN271" s="5"/>
      <c r="AO271" s="5"/>
      <c r="AP271" s="5"/>
      <c r="AQ271" s="5"/>
      <c r="AR271" s="5"/>
      <c r="AT271" s="5"/>
      <c r="AU271" s="5"/>
      <c r="AV271" s="5"/>
      <c r="AW271" s="5"/>
      <c r="AX271" s="5"/>
      <c r="AY271" s="5"/>
      <c r="BA271" s="5"/>
      <c r="BB271" s="5"/>
      <c r="BC271" s="5"/>
      <c r="BD271" s="5"/>
      <c r="BE271" s="5"/>
      <c r="BF271" s="5"/>
      <c r="BH271" s="5"/>
      <c r="BI271" s="5"/>
      <c r="BJ271" s="5"/>
      <c r="BK271" s="5"/>
      <c r="BL271" s="5"/>
      <c r="BM271" s="5"/>
      <c r="BO271" s="5"/>
      <c r="BP271" s="5"/>
      <c r="BQ271" s="5"/>
      <c r="BR271" s="5"/>
      <c r="BS271" s="5"/>
      <c r="BU271" s="4"/>
      <c r="BV271" s="4"/>
      <c r="BW271" s="4"/>
      <c r="BX271" s="4"/>
    </row>
    <row r="272" spans="4:76" ht="15.75" customHeight="1">
      <c r="D272" s="5"/>
      <c r="E272" s="5"/>
      <c r="F272" s="5"/>
      <c r="G272" s="5"/>
      <c r="H272" s="5"/>
      <c r="I272" s="5"/>
      <c r="K272" s="5"/>
      <c r="L272" s="5"/>
      <c r="M272" s="5"/>
      <c r="N272" s="5"/>
      <c r="O272" s="5"/>
      <c r="P272" s="5"/>
      <c r="R272" s="5"/>
      <c r="S272" s="5"/>
      <c r="T272" s="5"/>
      <c r="U272" s="5"/>
      <c r="V272" s="5"/>
      <c r="W272" s="5"/>
      <c r="Y272" s="5"/>
      <c r="Z272" s="5"/>
      <c r="AA272" s="5"/>
      <c r="AB272" s="5"/>
      <c r="AC272" s="5"/>
      <c r="AD272" s="5"/>
      <c r="AF272" s="5"/>
      <c r="AG272" s="5"/>
      <c r="AH272" s="5"/>
      <c r="AI272" s="5"/>
      <c r="AJ272" s="5"/>
      <c r="AK272" s="5"/>
      <c r="AM272" s="5"/>
      <c r="AN272" s="5"/>
      <c r="AO272" s="5"/>
      <c r="AP272" s="5"/>
      <c r="AQ272" s="5"/>
      <c r="AR272" s="5"/>
      <c r="AT272" s="5"/>
      <c r="AU272" s="5"/>
      <c r="AV272" s="5"/>
      <c r="AW272" s="5"/>
      <c r="AX272" s="5"/>
      <c r="AY272" s="5"/>
      <c r="BA272" s="5"/>
      <c r="BB272" s="5"/>
      <c r="BC272" s="5"/>
      <c r="BD272" s="5"/>
      <c r="BE272" s="5"/>
      <c r="BF272" s="5"/>
      <c r="BH272" s="5"/>
      <c r="BI272" s="5"/>
      <c r="BJ272" s="5"/>
      <c r="BK272" s="5"/>
      <c r="BL272" s="5"/>
      <c r="BM272" s="5"/>
      <c r="BO272" s="5"/>
      <c r="BP272" s="5"/>
      <c r="BQ272" s="5"/>
      <c r="BR272" s="5"/>
      <c r="BS272" s="5"/>
      <c r="BU272" s="4"/>
      <c r="BV272" s="4"/>
      <c r="BW272" s="4"/>
      <c r="BX272" s="4"/>
    </row>
    <row r="273" spans="4:76" ht="15.75" customHeight="1">
      <c r="D273" s="5"/>
      <c r="E273" s="5"/>
      <c r="F273" s="5"/>
      <c r="G273" s="5"/>
      <c r="H273" s="5"/>
      <c r="I273" s="5"/>
      <c r="K273" s="5"/>
      <c r="L273" s="5"/>
      <c r="M273" s="5"/>
      <c r="N273" s="5"/>
      <c r="O273" s="5"/>
      <c r="P273" s="5"/>
      <c r="R273" s="5"/>
      <c r="S273" s="5"/>
      <c r="T273" s="5"/>
      <c r="U273" s="5"/>
      <c r="V273" s="5"/>
      <c r="W273" s="5"/>
      <c r="Y273" s="5"/>
      <c r="Z273" s="5"/>
      <c r="AA273" s="5"/>
      <c r="AB273" s="5"/>
      <c r="AC273" s="5"/>
      <c r="AD273" s="5"/>
      <c r="AF273" s="5"/>
      <c r="AG273" s="5"/>
      <c r="AH273" s="5"/>
      <c r="AI273" s="5"/>
      <c r="AJ273" s="5"/>
      <c r="AK273" s="5"/>
      <c r="AM273" s="5"/>
      <c r="AN273" s="5"/>
      <c r="AO273" s="5"/>
      <c r="AP273" s="5"/>
      <c r="AQ273" s="5"/>
      <c r="AR273" s="5"/>
      <c r="AT273" s="5"/>
      <c r="AU273" s="5"/>
      <c r="AV273" s="5"/>
      <c r="AW273" s="5"/>
      <c r="AX273" s="5"/>
      <c r="AY273" s="5"/>
      <c r="BA273" s="5"/>
      <c r="BB273" s="5"/>
      <c r="BC273" s="5"/>
      <c r="BD273" s="5"/>
      <c r="BE273" s="5"/>
      <c r="BF273" s="5"/>
      <c r="BH273" s="5"/>
      <c r="BI273" s="5"/>
      <c r="BJ273" s="5"/>
      <c r="BK273" s="5"/>
      <c r="BL273" s="5"/>
      <c r="BM273" s="5"/>
      <c r="BO273" s="5"/>
      <c r="BP273" s="5"/>
      <c r="BQ273" s="5"/>
      <c r="BR273" s="5"/>
      <c r="BS273" s="5"/>
      <c r="BU273" s="4"/>
      <c r="BV273" s="4"/>
      <c r="BW273" s="4"/>
      <c r="BX273" s="4"/>
    </row>
    <row r="274" spans="4:76" ht="15.75" customHeight="1">
      <c r="D274" s="5"/>
      <c r="E274" s="5"/>
      <c r="F274" s="5"/>
      <c r="G274" s="5"/>
      <c r="H274" s="5"/>
      <c r="I274" s="5"/>
      <c r="K274" s="5"/>
      <c r="L274" s="5"/>
      <c r="M274" s="5"/>
      <c r="N274" s="5"/>
      <c r="O274" s="5"/>
      <c r="P274" s="5"/>
      <c r="R274" s="5"/>
      <c r="S274" s="5"/>
      <c r="T274" s="5"/>
      <c r="U274" s="5"/>
      <c r="V274" s="5"/>
      <c r="W274" s="5"/>
      <c r="Y274" s="5"/>
      <c r="Z274" s="5"/>
      <c r="AA274" s="5"/>
      <c r="AB274" s="5"/>
      <c r="AC274" s="5"/>
      <c r="AD274" s="5"/>
      <c r="AF274" s="5"/>
      <c r="AG274" s="5"/>
      <c r="AH274" s="5"/>
      <c r="AI274" s="5"/>
      <c r="AJ274" s="5"/>
      <c r="AK274" s="5"/>
      <c r="AM274" s="5"/>
      <c r="AN274" s="5"/>
      <c r="AO274" s="5"/>
      <c r="AP274" s="5"/>
      <c r="AQ274" s="5"/>
      <c r="AR274" s="5"/>
      <c r="AT274" s="5"/>
      <c r="AU274" s="5"/>
      <c r="AV274" s="5"/>
      <c r="AW274" s="5"/>
      <c r="AX274" s="5"/>
      <c r="AY274" s="5"/>
      <c r="BA274" s="5"/>
      <c r="BB274" s="5"/>
      <c r="BC274" s="5"/>
      <c r="BD274" s="5"/>
      <c r="BE274" s="5"/>
      <c r="BF274" s="5"/>
      <c r="BH274" s="5"/>
      <c r="BI274" s="5"/>
      <c r="BJ274" s="5"/>
      <c r="BK274" s="5"/>
      <c r="BL274" s="5"/>
      <c r="BM274" s="5"/>
      <c r="BO274" s="5"/>
      <c r="BP274" s="5"/>
      <c r="BQ274" s="5"/>
      <c r="BR274" s="5"/>
      <c r="BS274" s="5"/>
      <c r="BU274" s="4"/>
      <c r="BV274" s="4"/>
      <c r="BW274" s="4"/>
      <c r="BX274" s="4"/>
    </row>
    <row r="275" spans="4:76" ht="15.75" customHeight="1">
      <c r="D275" s="5"/>
      <c r="E275" s="5"/>
      <c r="F275" s="5"/>
      <c r="G275" s="5"/>
      <c r="H275" s="5"/>
      <c r="I275" s="5"/>
      <c r="K275" s="5"/>
      <c r="L275" s="5"/>
      <c r="M275" s="5"/>
      <c r="N275" s="5"/>
      <c r="O275" s="5"/>
      <c r="P275" s="5"/>
      <c r="R275" s="5"/>
      <c r="S275" s="5"/>
      <c r="T275" s="5"/>
      <c r="U275" s="5"/>
      <c r="V275" s="5"/>
      <c r="W275" s="5"/>
      <c r="Y275" s="5"/>
      <c r="Z275" s="5"/>
      <c r="AA275" s="5"/>
      <c r="AB275" s="5"/>
      <c r="AC275" s="5"/>
      <c r="AD275" s="5"/>
      <c r="AF275" s="5"/>
      <c r="AG275" s="5"/>
      <c r="AH275" s="5"/>
      <c r="AI275" s="5"/>
      <c r="AJ275" s="5"/>
      <c r="AK275" s="5"/>
      <c r="AM275" s="5"/>
      <c r="AN275" s="5"/>
      <c r="AO275" s="5"/>
      <c r="AP275" s="5"/>
      <c r="AQ275" s="5"/>
      <c r="AR275" s="5"/>
      <c r="AT275" s="5"/>
      <c r="AU275" s="5"/>
      <c r="AV275" s="5"/>
      <c r="AW275" s="5"/>
      <c r="AX275" s="5"/>
      <c r="AY275" s="5"/>
      <c r="BA275" s="5"/>
      <c r="BB275" s="5"/>
      <c r="BC275" s="5"/>
      <c r="BD275" s="5"/>
      <c r="BE275" s="5"/>
      <c r="BF275" s="5"/>
      <c r="BH275" s="5"/>
      <c r="BI275" s="5"/>
      <c r="BJ275" s="5"/>
      <c r="BK275" s="5"/>
      <c r="BL275" s="5"/>
      <c r="BM275" s="5"/>
      <c r="BO275" s="5"/>
      <c r="BP275" s="5"/>
      <c r="BQ275" s="5"/>
      <c r="BR275" s="5"/>
      <c r="BS275" s="5"/>
      <c r="BW275" s="4"/>
      <c r="BX275" s="4"/>
    </row>
    <row r="276" spans="4:76" ht="15.75" customHeight="1">
      <c r="D276" s="5"/>
      <c r="E276" s="5"/>
      <c r="F276" s="5"/>
      <c r="G276" s="5"/>
      <c r="H276" s="5"/>
      <c r="I276" s="5"/>
      <c r="K276" s="5"/>
      <c r="L276" s="5"/>
      <c r="M276" s="5"/>
      <c r="N276" s="5"/>
      <c r="O276" s="5"/>
      <c r="P276" s="5"/>
      <c r="R276" s="5"/>
      <c r="S276" s="5"/>
      <c r="T276" s="5"/>
      <c r="U276" s="5"/>
      <c r="V276" s="5"/>
      <c r="W276" s="5"/>
      <c r="Y276" s="5"/>
      <c r="Z276" s="5"/>
      <c r="AA276" s="5"/>
      <c r="AB276" s="5"/>
      <c r="AC276" s="5"/>
      <c r="AD276" s="5"/>
      <c r="AF276" s="5"/>
      <c r="AG276" s="5"/>
      <c r="AH276" s="5"/>
      <c r="AI276" s="5"/>
      <c r="AJ276" s="5"/>
      <c r="AK276" s="5"/>
      <c r="AM276" s="5"/>
      <c r="AN276" s="5"/>
      <c r="AO276" s="5"/>
      <c r="AP276" s="5"/>
      <c r="AQ276" s="5"/>
      <c r="AR276" s="5"/>
      <c r="AT276" s="5"/>
      <c r="AU276" s="5"/>
      <c r="AV276" s="5"/>
      <c r="AW276" s="5"/>
      <c r="AX276" s="5"/>
      <c r="AY276" s="5"/>
      <c r="BA276" s="5"/>
      <c r="BB276" s="5"/>
      <c r="BC276" s="5"/>
      <c r="BD276" s="5"/>
      <c r="BE276" s="5"/>
      <c r="BF276" s="5"/>
      <c r="BH276" s="5"/>
      <c r="BI276" s="5"/>
      <c r="BJ276" s="5"/>
      <c r="BK276" s="5"/>
      <c r="BL276" s="5"/>
      <c r="BM276" s="5"/>
      <c r="BO276" s="5"/>
      <c r="BP276" s="5"/>
      <c r="BQ276" s="5"/>
      <c r="BR276" s="5"/>
      <c r="BS276" s="5"/>
    </row>
  </sheetData>
  <mergeCells count="26">
    <mergeCell ref="BM2:BS2"/>
    <mergeCell ref="A1:BS1"/>
    <mergeCell ref="B2:H2"/>
    <mergeCell ref="I2:O2"/>
    <mergeCell ref="P2:V2"/>
    <mergeCell ref="W2:AC2"/>
    <mergeCell ref="AD2:AJ2"/>
    <mergeCell ref="AK2:AQ2"/>
    <mergeCell ref="AR2:AX2"/>
    <mergeCell ref="AY2:BE2"/>
    <mergeCell ref="A20:B20"/>
    <mergeCell ref="A21:B21"/>
    <mergeCell ref="A22:B22"/>
    <mergeCell ref="A23:B23"/>
    <mergeCell ref="BF2:BL2"/>
    <mergeCell ref="A24:B24"/>
    <mergeCell ref="A31:B31"/>
    <mergeCell ref="A33:B33"/>
    <mergeCell ref="A34:B34"/>
    <mergeCell ref="A25:B25"/>
    <mergeCell ref="A26:B26"/>
    <mergeCell ref="A27:B27"/>
    <mergeCell ref="A28:B28"/>
    <mergeCell ref="A29:B29"/>
    <mergeCell ref="A30:B30"/>
    <mergeCell ref="A32:B32"/>
  </mergeCells>
  <pageMargins left="0.25" right="0.25" top="0.75" bottom="0.75" header="0" footer="0"/>
  <pageSetup fitToWidth="0" orientation="landscape" r:id="rId1"/>
  <tableParts count="4">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6CEC7-612A-4A4F-B9BF-1259EF27DCF8}">
  <sheetPr codeName="Sheet2"/>
  <dimension ref="A1:L42"/>
  <sheetViews>
    <sheetView showGridLines="0" topLeftCell="C1" zoomScaleNormal="100" workbookViewId="0">
      <selection activeCell="G7" sqref="G7"/>
    </sheetView>
  </sheetViews>
  <sheetFormatPr defaultRowHeight="12.5"/>
  <cols>
    <col min="1" max="1" width="6.1796875" bestFit="1" customWidth="1"/>
    <col min="2" max="2" width="11.453125" bestFit="1" customWidth="1"/>
    <col min="3" max="3" width="13.1796875" bestFit="1" customWidth="1"/>
    <col min="4" max="4" width="11.26953125" bestFit="1" customWidth="1"/>
    <col min="5" max="5" width="12.26953125" bestFit="1" customWidth="1"/>
    <col min="6" max="6" width="13.26953125" bestFit="1" customWidth="1"/>
    <col min="7" max="8" width="15.26953125" bestFit="1" customWidth="1"/>
    <col min="9" max="9" width="15" bestFit="1" customWidth="1"/>
    <col min="10" max="10" width="15.26953125" bestFit="1" customWidth="1"/>
    <col min="11" max="11" width="15.453125" bestFit="1" customWidth="1"/>
    <col min="12" max="12" width="12.1796875" bestFit="1" customWidth="1"/>
  </cols>
  <sheetData>
    <row r="1" spans="1:12" ht="30" customHeight="1">
      <c r="A1" s="193" t="s">
        <v>115</v>
      </c>
      <c r="B1" s="193"/>
      <c r="C1" s="193"/>
      <c r="D1" s="193"/>
      <c r="E1" s="193"/>
      <c r="F1" s="193"/>
      <c r="G1" s="193"/>
      <c r="H1" s="193"/>
      <c r="I1" s="193"/>
      <c r="J1" s="193"/>
      <c r="K1" s="193"/>
      <c r="L1" s="193"/>
    </row>
    <row r="3" spans="1:12" ht="22" customHeight="1">
      <c r="A3" s="194" t="s">
        <v>116</v>
      </c>
      <c r="B3" s="194"/>
      <c r="C3" s="194"/>
      <c r="D3" s="194"/>
      <c r="E3" s="194"/>
      <c r="F3" s="194"/>
      <c r="G3" s="194"/>
      <c r="H3" s="194"/>
      <c r="I3" s="194"/>
      <c r="J3" s="194"/>
      <c r="K3" s="194"/>
      <c r="L3" s="194"/>
    </row>
    <row r="4" spans="1:12">
      <c r="A4" s="124" t="s">
        <v>117</v>
      </c>
      <c r="B4" s="124" t="s">
        <v>118</v>
      </c>
      <c r="C4" s="124" t="s">
        <v>119</v>
      </c>
      <c r="D4" s="124" t="s">
        <v>120</v>
      </c>
      <c r="E4" s="124" t="s">
        <v>121</v>
      </c>
      <c r="F4" s="124" t="s">
        <v>122</v>
      </c>
      <c r="G4" s="124" t="s">
        <v>123</v>
      </c>
      <c r="H4" s="124" t="s">
        <v>124</v>
      </c>
      <c r="I4" s="124" t="s">
        <v>125</v>
      </c>
      <c r="J4" s="124" t="s">
        <v>126</v>
      </c>
      <c r="K4" s="124" t="s">
        <v>127</v>
      </c>
      <c r="L4" s="124" t="s">
        <v>128</v>
      </c>
    </row>
    <row r="5" spans="1:12" ht="13">
      <c r="A5" s="125" t="s">
        <v>22</v>
      </c>
      <c r="B5" s="128">
        <f>COUNTIFS('Regular Season'!B4:B17,"*Home*",'Regular Season'!H4:H17,"Win")</f>
        <v>3</v>
      </c>
      <c r="C5" s="128">
        <f>COUNTIFS('Regular Season'!B4:B17,"*Home*",'Regular Season'!H4:H17,"Loss")</f>
        <v>1</v>
      </c>
      <c r="D5" s="129">
        <f>IFERROR(B5/(B5+C5),0)</f>
        <v>0.75</v>
      </c>
      <c r="E5" s="128">
        <f>COUNTIFS('Regular Season'!B4:B17,"*Away*",'Regular Season'!H4:H17,"Win")</f>
        <v>2</v>
      </c>
      <c r="F5" s="128">
        <f>COUNTIFS('Regular Season'!B4:B17,"*Away*",'Regular Season'!H4:H17,"Loss")</f>
        <v>4</v>
      </c>
      <c r="G5" s="129">
        <f>IFERROR(E5/(E5+F5),0)</f>
        <v>0.33333333333333331</v>
      </c>
      <c r="H5" s="130">
        <f>IFERROR(AVERAGEIFS('Regular Season'!C4:C17,'Regular Season'!B4:B17,"*Home*",'Regular Season'!H4:H17,"&lt;&gt;"),0)</f>
        <v>193.25</v>
      </c>
      <c r="I5" s="130">
        <f>IFERROR(AVERAGEIFS('Regular Season'!C4:C17,'Regular Season'!B4:B17,"*Away*",'Regular Season'!H4:H17,"&lt;&gt;"),0)</f>
        <v>173.66666666666666</v>
      </c>
      <c r="J5" s="130">
        <f>IFERROR(AVERAGEIFS('Regular Season'!D4:D17,'Regular Season'!B4:B17,"*Home*",'Regular Season'!H4:H17,"&lt;&gt;"),0)</f>
        <v>7.25</v>
      </c>
      <c r="K5" s="130">
        <f>IFERROR(AVERAGEIFS('Regular Season'!D4:D17,'Regular Season'!B4:B17,"*Away*",'Regular Season'!H4:H17,"&lt;&gt;"),0)</f>
        <v>5.5</v>
      </c>
      <c r="L5" s="128" t="str">
        <f>IF(D5&gt;G5,"Home","Away")</f>
        <v>Home</v>
      </c>
    </row>
    <row r="6" spans="1:12" ht="13">
      <c r="A6" s="125" t="s">
        <v>23</v>
      </c>
      <c r="B6" s="128">
        <f>COUNTIFS('Regular Season'!I4:I17,"*Home*",'Regular Season'!O4:O17,"Win")</f>
        <v>2</v>
      </c>
      <c r="C6" s="131">
        <f>COUNTIFS('Regular Season'!I4:I17,"*Home*",'Regular Season'!O4:O17,"Loss")</f>
        <v>4</v>
      </c>
      <c r="D6" s="129">
        <f t="shared" ref="D6:D14" si="0">IFERROR(B6/(B6+C6),0)</f>
        <v>0.33333333333333331</v>
      </c>
      <c r="E6" s="128">
        <f>COUNTIFS('Regular Season'!I4:I17,"*Away*",'Regular Season'!O4:O17,"Win")</f>
        <v>1</v>
      </c>
      <c r="F6" s="128">
        <f>COUNTIFS('Regular Season'!I4:I17,"*Away*",'Regular Season'!O4:O17,"Loss")</f>
        <v>3</v>
      </c>
      <c r="G6" s="129">
        <f t="shared" ref="G6:G14" si="1">IFERROR(E6/(E6+F6),0)</f>
        <v>0.25</v>
      </c>
      <c r="H6" s="130">
        <f>IFERROR(AVERAGEIFS('Regular Season'!J4:J17,'Regular Season'!I4:I17,"*Home*",'Regular Season'!O4:O17,"&lt;&gt;"),0)</f>
        <v>202.83333333333334</v>
      </c>
      <c r="I6" s="130">
        <f>IFERROR(AVERAGEIFS('Regular Season'!J4:J17,'Regular Season'!I4:I17,"*Away*",'Regular Season'!O4:O17,"&lt;&gt;"),0)</f>
        <v>160.75</v>
      </c>
      <c r="J6" s="130">
        <f>IFERROR(AVERAGEIFS('Regular Season'!K4:K17,'Regular Season'!I4:I17,"*Home*",'Regular Season'!O4:O17,"&lt;&gt;"),0)</f>
        <v>4.333333333333333</v>
      </c>
      <c r="K6" s="130">
        <f>IFERROR(AVERAGEIFS('Regular Season'!K4:K17,'Regular Season'!I4:I17,"*Away*",'Regular Season'!O4:O17,"&lt;&gt;"),0)</f>
        <v>4.75</v>
      </c>
      <c r="L6" s="128" t="str">
        <f t="shared" ref="L6:L14" si="2">IF(D6&gt;G6,"Home","Away")</f>
        <v>Home</v>
      </c>
    </row>
    <row r="7" spans="1:12" ht="13">
      <c r="A7" s="127" t="s">
        <v>24</v>
      </c>
      <c r="B7" s="128">
        <f>COUNTIFS('Regular Season'!P4:P17,"*Home*",'Regular Season'!V4:V17,"Win")</f>
        <v>3</v>
      </c>
      <c r="C7" s="131">
        <f>COUNTIFS('Regular Season'!P4:P17,"*Home*",'Regular Season'!V4:V17,"Loss")</f>
        <v>2</v>
      </c>
      <c r="D7" s="129">
        <f t="shared" si="0"/>
        <v>0.6</v>
      </c>
      <c r="E7" s="128">
        <f>COUNTIFS('Regular Season'!P4:P17,"*Away*",'Regular Season'!V4:V17,"Win")</f>
        <v>3</v>
      </c>
      <c r="F7" s="128">
        <f>COUNTIFS('Regular Season'!P4:P17,"*Away*",'Regular Season'!V4:V17,"Loss")</f>
        <v>2</v>
      </c>
      <c r="G7" s="129">
        <f t="shared" si="1"/>
        <v>0.6</v>
      </c>
      <c r="H7" s="130">
        <f>IFERROR(AVERAGEIFS('Regular Season'!Q4:Q17,'Regular Season'!P4:P17,"*Home*",'Regular Season'!V4:V17,"&lt;&gt;"),0)</f>
        <v>162</v>
      </c>
      <c r="I7" s="130">
        <f>IFERROR(AVERAGEIFS('Regular Season'!Q4:Q17,'Regular Season'!P4:P17,"*Away*",'Regular Season'!V4:V17,"&lt;&gt;"),0)</f>
        <v>180.8</v>
      </c>
      <c r="J7" s="130">
        <f>IFERROR(AVERAGEIFS('Regular Season'!R4:R17,'Regular Season'!P4:P17,"*Home*",'Regular Season'!V4:V17,"&lt;&gt;"),0)</f>
        <v>8</v>
      </c>
      <c r="K7" s="130">
        <f>IFERROR(AVERAGEIFS('Regular Season'!R4:R17,'Regular Season'!P4:P17,"*Away*",'Regular Season'!V4:V17,"&lt;&gt;"),0)</f>
        <v>7</v>
      </c>
      <c r="L7" s="128" t="str">
        <f t="shared" si="2"/>
        <v>Away</v>
      </c>
    </row>
    <row r="8" spans="1:12" ht="13">
      <c r="A8" s="127" t="s">
        <v>25</v>
      </c>
      <c r="B8" s="128">
        <f>COUNTIFS('Regular Season'!W4:W17,"*Home*",'Regular Season'!AC4:AC17,"Win")</f>
        <v>4</v>
      </c>
      <c r="C8" s="132">
        <f>COUNTIFS('Regular Season'!W4:W17,"*Home*",'Regular Season'!AC4:AC17,"Loss")</f>
        <v>2</v>
      </c>
      <c r="D8" s="129">
        <f t="shared" si="0"/>
        <v>0.66666666666666663</v>
      </c>
      <c r="E8" s="128">
        <f>COUNTIFS('Regular Season'!W4:W17,"*Away*",'Regular Season'!AC4:AC17,"Win")</f>
        <v>2</v>
      </c>
      <c r="F8" s="128">
        <f>COUNTIFS('Regular Season'!W4:W17,"*Away*",'Regular Season'!AC4:AC17,"Loss")</f>
        <v>2</v>
      </c>
      <c r="G8" s="129">
        <f t="shared" si="1"/>
        <v>0.5</v>
      </c>
      <c r="H8" s="130">
        <f>IFERROR(AVERAGEIFS('Regular Season'!X4:X17,'Regular Season'!W4:W17,"*Home*",'Regular Season'!AC4:AC17,"&lt;&gt;"),0)</f>
        <v>189.83333333333334</v>
      </c>
      <c r="I8" s="130">
        <f>IFERROR(AVERAGEIFS('Regular Season'!X4:X17,'Regular Season'!W4:W17,"*Away*",'Regular Season'!AC4:AC17,"&lt;&gt;"),0)</f>
        <v>180.25</v>
      </c>
      <c r="J8" s="130">
        <f>IFERROR(AVERAGEIFS('Regular Season'!Y4:Y17,'Regular Season'!W4:W17,"*Home*",'Regular Season'!AC4:AC17,"&lt;&gt;"),0)</f>
        <v>7</v>
      </c>
      <c r="K8" s="130">
        <f>IFERROR(AVERAGEIFS('Regular Season'!Y4:Y17,'Regular Season'!W4:W17,"*Away*",'Regular Season'!AC4:AC17,"&lt;&gt;"),0)</f>
        <v>5.5</v>
      </c>
      <c r="L8" s="128" t="str">
        <f t="shared" si="2"/>
        <v>Home</v>
      </c>
    </row>
    <row r="9" spans="1:12" ht="13">
      <c r="A9" s="127" t="s">
        <v>26</v>
      </c>
      <c r="B9" s="128">
        <f>COUNTIFS('Regular Season'!AD4:AD17,"*Home*",'Regular Season'!AJ4:AJ17,"Win")</f>
        <v>3</v>
      </c>
      <c r="C9" s="131">
        <f>COUNTIFS('Regular Season'!AD4:AD17,"*Home*",'Regular Season'!AJ4:AJ17,"Loss")</f>
        <v>2</v>
      </c>
      <c r="D9" s="129">
        <f t="shared" si="0"/>
        <v>0.6</v>
      </c>
      <c r="E9" s="128">
        <f>COUNTIFS('Regular Season'!AD4:AD17,"*Away*",'Regular Season'!AJ4:AJ17,"Win")</f>
        <v>3</v>
      </c>
      <c r="F9" s="128">
        <f>COUNTIFS('Regular Season'!AD4:AD17,"*Away*",'Regular Season'!AJ4:AJ17,"Loss")</f>
        <v>2</v>
      </c>
      <c r="G9" s="129">
        <f t="shared" si="1"/>
        <v>0.6</v>
      </c>
      <c r="H9" s="130">
        <f>IFERROR(AVERAGEIFS('Regular Season'!AE4:AE17,'Regular Season'!AD4:AD17,"*Home*",'Regular Season'!AJ4:AJ17,"&lt;&gt;"),0)</f>
        <v>186.6</v>
      </c>
      <c r="I9" s="130">
        <f>IFERROR(AVERAGEIFS('Regular Season'!AE4:AE17,'Regular Season'!AD4:AD17,"*Away*",'Regular Season'!AJ4:AJ17,"&lt;&gt;"),0)</f>
        <v>182.2</v>
      </c>
      <c r="J9" s="130">
        <f>IFERROR(AVERAGEIFS('Regular Season'!AF4:AF17,'Regular Season'!AD4:AD17,"*Home*",'Regular Season'!AJ4:AJ17,"&lt;&gt;"),0)</f>
        <v>7</v>
      </c>
      <c r="K9" s="130">
        <f>IFERROR(AVERAGEIFS('Regular Season'!AF4:AF17,'Regular Season'!AD4:AD17,"*Away*",'Regular Season'!AJ4:AJ17,"&lt;&gt;"),0)</f>
        <v>6.8</v>
      </c>
      <c r="L9" s="128" t="str">
        <f t="shared" si="2"/>
        <v>Away</v>
      </c>
    </row>
    <row r="10" spans="1:12" ht="13">
      <c r="A10" s="127" t="s">
        <v>27</v>
      </c>
      <c r="B10" s="128">
        <f>COUNTIFS('Regular Season'!AK4:AK17,"*Home*",'Regular Season'!AQ4:AQ17,"Win")</f>
        <v>1</v>
      </c>
      <c r="C10" s="132">
        <f>COUNTIFS('Regular Season'!AK4:AK17,"*Home*",'Regular Season'!AQ4:AQ17,"Loss")</f>
        <v>4</v>
      </c>
      <c r="D10" s="129">
        <f t="shared" si="0"/>
        <v>0.2</v>
      </c>
      <c r="E10" s="128">
        <f>COUNTIFS('Regular Season'!AK4:AK17,"*Away*",'Regular Season'!AQ4:AQ17,"Win")</f>
        <v>3</v>
      </c>
      <c r="F10" s="128">
        <f>COUNTIFS('Regular Season'!AK4:AK17,"*Away*",'Regular Season'!AQ4:AQ17,"Loss")</f>
        <v>2</v>
      </c>
      <c r="G10" s="129">
        <f t="shared" si="1"/>
        <v>0.6</v>
      </c>
      <c r="H10" s="130">
        <f>IFERROR(AVERAGEIFS('Regular Season'!AL4:AL17,'Regular Season'!AK4:AK17,"*Home*",'Regular Season'!AQ4:AQ17,"&lt;&gt;"),0)</f>
        <v>173.4</v>
      </c>
      <c r="I10" s="130">
        <f>IFERROR(AVERAGEIFS('Regular Season'!AL4:AL17,'Regular Season'!AK4:AK17,"*Away*",'Regular Season'!AQ4:AQ17,"&lt;&gt;"),0)</f>
        <v>186.8</v>
      </c>
      <c r="J10" s="130">
        <f>IFERROR(AVERAGEIFS('Regular Season'!AM4:AM17,'Regular Season'!AK4:AK17,"*Home*",'Regular Season'!AQ4:AQ17,"&lt;&gt;"),0)</f>
        <v>3.4</v>
      </c>
      <c r="K10" s="130">
        <f>IFERROR(AVERAGEIFS('Regular Season'!AM4:AM17,'Regular Season'!AK4:AK17,"*Away*",'Regular Season'!AQ4:AQ17,"&lt;&gt;"),0)</f>
        <v>5.6</v>
      </c>
      <c r="L10" s="128" t="str">
        <f t="shared" si="2"/>
        <v>Away</v>
      </c>
    </row>
    <row r="11" spans="1:12" ht="13">
      <c r="A11" s="127" t="s">
        <v>28</v>
      </c>
      <c r="B11" s="128">
        <f>COUNTIFS('Regular Season'!AR4:AR17,"*Home*",'Regular Season'!AX4:AX17,"Win")</f>
        <v>3</v>
      </c>
      <c r="C11" s="131">
        <f>COUNTIFS('Regular Season'!AR4:AR17,"*Home*",'Regular Season'!AX4:AX17,"Loss")</f>
        <v>1</v>
      </c>
      <c r="D11" s="129">
        <f t="shared" si="0"/>
        <v>0.75</v>
      </c>
      <c r="E11" s="128">
        <f>COUNTIFS('Regular Season'!AR4:AR17,"*Away*",'Regular Season'!AX4:AX17,"Win")</f>
        <v>3</v>
      </c>
      <c r="F11" s="128">
        <f>COUNTIFS('Regular Season'!AR4:AR17,"*Away*",'Regular Season'!AX4:AX17,"Loss")</f>
        <v>2</v>
      </c>
      <c r="G11" s="129">
        <f t="shared" si="1"/>
        <v>0.6</v>
      </c>
      <c r="H11" s="130">
        <f>IFERROR(AVERAGEIFS('Regular Season'!AS4:AS17,'Regular Season'!AR4:AR17,"*Home*",'Regular Season'!AX4:AX17,"&lt;&gt;"),0)</f>
        <v>216</v>
      </c>
      <c r="I11" s="130">
        <f>IFERROR(AVERAGEIFS('Regular Season'!AS4:AS17,'Regular Season'!AR4:AR17,"*Away*",'Regular Season'!AX4:AX17,"&lt;&gt;"),0)</f>
        <v>207.6</v>
      </c>
      <c r="J11" s="130">
        <f>IFERROR(AVERAGEIFS('Regular Season'!AT4:AT17,'Regular Season'!AR4:AR17,"*Home*",'Regular Season'!AX4:AX17,"&lt;&gt;"),0)</f>
        <v>5.75</v>
      </c>
      <c r="K11" s="130">
        <f>IFERROR(AVERAGEIFS('Regular Season'!AT4:AT17,'Regular Season'!AR4:AR17,"*Away*",'Regular Season'!AX4:AX17,"&lt;&gt;"),0)</f>
        <v>4.333333333333333</v>
      </c>
      <c r="L11" s="128" t="str">
        <f t="shared" si="2"/>
        <v>Home</v>
      </c>
    </row>
    <row r="12" spans="1:12" ht="13">
      <c r="A12" s="127" t="s">
        <v>29</v>
      </c>
      <c r="B12" s="128">
        <f>COUNTIFS('Regular Season'!AY4:AY17,"*Home*",'Regular Season'!BE4:BE17,"Win")</f>
        <v>1</v>
      </c>
      <c r="C12" s="132">
        <f>COUNTIFS('Regular Season'!AY4:AY17,"*Home*",'Regular Season'!BE4:BE17,"Loss")</f>
        <v>4</v>
      </c>
      <c r="D12" s="129">
        <f t="shared" si="0"/>
        <v>0.2</v>
      </c>
      <c r="E12" s="128">
        <f>COUNTIFS('Regular Season'!AY4:AY17,"*Away*",'Regular Season'!BE4:BE17,"Win")</f>
        <v>2</v>
      </c>
      <c r="F12" s="128">
        <f>COUNTIFS('Regular Season'!AY4:AY17,"*Away*",'Regular Season'!BE4:BE17,"Loss")</f>
        <v>3</v>
      </c>
      <c r="G12" s="129">
        <f t="shared" si="1"/>
        <v>0.4</v>
      </c>
      <c r="H12" s="130">
        <f>IFERROR(AVERAGEIFS('Regular Season'!AZ4:AZ17,'Regular Season'!AY4:AY17,"*Home*",'Regular Season'!BE4:BE17,"&lt;&gt;"),0)</f>
        <v>157.80000000000001</v>
      </c>
      <c r="I12" s="130">
        <f>IFERROR(AVERAGEIFS('Regular Season'!AZ4:AZ17,'Regular Season'!AY4:AY17,"*Away*",'Regular Season'!BE4:BE17,"&lt;&gt;"),0)</f>
        <v>183.2</v>
      </c>
      <c r="J12" s="130">
        <f>IFERROR(AVERAGEIFS('Regular Season'!BA4:BA17,'Regular Season'!AY4:AY17,"*Home*",'Regular Season'!BE4:BE17,"&lt;&gt;"),0)</f>
        <v>5.2</v>
      </c>
      <c r="K12" s="133">
        <f>IFERROR(AVERAGEIFS('Regular Season'!BA4:BA17,'Regular Season'!AY4:AY17,"*Away*",'Regular Season'!BE4:BE17,"&lt;&gt;"),0)</f>
        <v>5.8</v>
      </c>
      <c r="L12" s="128" t="str">
        <f t="shared" si="2"/>
        <v>Away</v>
      </c>
    </row>
    <row r="13" spans="1:12" ht="13">
      <c r="A13" s="127" t="s">
        <v>30</v>
      </c>
      <c r="B13" s="128">
        <f>COUNTIFS('Regular Season'!BF4:BF17,"*Home*",'Regular Season'!BL4:BL17,"Win")</f>
        <v>1</v>
      </c>
      <c r="C13" s="132">
        <f>COUNTIFS('Regular Season'!BF4:BF17,"*Home*",'Regular Season'!BL4:BL17,"Loss")</f>
        <v>2</v>
      </c>
      <c r="D13" s="129">
        <f t="shared" si="0"/>
        <v>0.33333333333333331</v>
      </c>
      <c r="E13" s="128">
        <f>COUNTIFS('Regular Season'!BF4:BF17,"*Away*",'Regular Season'!BL4:BL17,"Win")</f>
        <v>2</v>
      </c>
      <c r="F13" s="128">
        <f>COUNTIFS('Regular Season'!BF4:BF17,"*Away*",'Regular Season'!BL4:BL17,"Loss")</f>
        <v>3</v>
      </c>
      <c r="G13" s="129">
        <f t="shared" si="1"/>
        <v>0.4</v>
      </c>
      <c r="H13" s="130">
        <f>IFERROR(AVERAGEIFS('Regular Season'!BG4:BG17,'Regular Season'!BF4:BF17,"*Home*",'Regular Season'!BL4:BL17,"&lt;&gt;"),0)</f>
        <v>132</v>
      </c>
      <c r="I13" s="130">
        <f>IFERROR(AVERAGEIFS('Regular Season'!BG4:BG17,'Regular Season'!BF4:BF17,"*Away*",'Regular Season'!BL4:BL17,"&lt;&gt;"),0)</f>
        <v>177.6</v>
      </c>
      <c r="J13" s="130">
        <f>IFERROR(AVERAGEIFS('Regular Season'!BH4:BH17,'Regular Season'!BF4:BF17,"*Home*",'Regular Season'!BL4:BL17,"&lt;&gt;"),0)</f>
        <v>8</v>
      </c>
      <c r="K13" s="130">
        <f>IFERROR(AVERAGEIFS('Regular Season'!BH4:BH17,'Regular Season'!BF4:BF17,"*Away*",'Regular Season'!BL4:BL17,"&lt;&gt;"),0)</f>
        <v>6.8</v>
      </c>
      <c r="L13" s="128" t="str">
        <f t="shared" si="2"/>
        <v>Away</v>
      </c>
    </row>
    <row r="14" spans="1:12" ht="13">
      <c r="A14" s="127" t="s">
        <v>31</v>
      </c>
      <c r="B14" s="128">
        <f>COUNTIFS('Regular Season'!BM4:BM17,"*Home*",'Regular Season'!BS4:BS17,"Win")</f>
        <v>4</v>
      </c>
      <c r="C14" s="132">
        <f>COUNTIFS('Regular Season'!BM4:BM17,"*Home*",'Regular Season'!BS4:BS17,"Loss")</f>
        <v>2</v>
      </c>
      <c r="D14" s="129">
        <f t="shared" si="0"/>
        <v>0.66666666666666663</v>
      </c>
      <c r="E14" s="128">
        <f>COUNTIFS('Regular Season'!BM4:BM17,"*Away*",'Regular Season'!BS4:BS17,"Win")</f>
        <v>3</v>
      </c>
      <c r="F14" s="128">
        <f>COUNTIFS('Regular Season'!BM4:BM17,"*Away*",'Regular Season'!BS4:BS17,"Loss")</f>
        <v>2</v>
      </c>
      <c r="G14" s="129">
        <f t="shared" si="1"/>
        <v>0.6</v>
      </c>
      <c r="H14" s="130">
        <f>IFERROR(AVERAGEIFS('Regular Season'!BN4:BN17,'Regular Season'!BM4:BM17,"*Home*",'Regular Season'!BS4:BS17,"&lt;&gt;"),0)</f>
        <v>201.33333333333334</v>
      </c>
      <c r="I14" s="130">
        <f>IFERROR(AVERAGEIFS('Regular Season'!BN4:BN17,'Regular Season'!BM4:BM17,"*Away*",'Regular Season'!BS4:BS17,"&lt;&gt;"),0)</f>
        <v>224.8</v>
      </c>
      <c r="J14" s="130">
        <f>IFERROR(AVERAGEIFS('Regular Season'!BO4:BO17,'Regular Season'!BM4:BM17,"*Home*",'Regular Season'!BS4:BS17,"&lt;&gt;"),0)</f>
        <v>7</v>
      </c>
      <c r="K14" s="130">
        <f>IFERROR(AVERAGEIFS('Regular Season'!BO4:BO17,'Regular Season'!BM4:BM17,"*Away*",'Regular Season'!BS4:BS17,"&lt;&gt;"),0)</f>
        <v>5.8</v>
      </c>
      <c r="L14" s="128" t="str">
        <f t="shared" si="2"/>
        <v>Home</v>
      </c>
    </row>
    <row r="17" spans="1:12" ht="22" customHeight="1">
      <c r="A17" s="194" t="s">
        <v>129</v>
      </c>
      <c r="B17" s="194"/>
      <c r="C17" s="194"/>
      <c r="D17" s="194"/>
      <c r="E17" s="194"/>
      <c r="F17" s="194"/>
      <c r="G17" s="194"/>
      <c r="H17" s="194"/>
      <c r="I17" s="194"/>
      <c r="J17" s="194"/>
      <c r="K17" s="194"/>
      <c r="L17" s="194"/>
    </row>
    <row r="18" spans="1:12">
      <c r="A18" s="124" t="s">
        <v>117</v>
      </c>
      <c r="B18" s="124" t="s">
        <v>131</v>
      </c>
      <c r="C18" s="124" t="s">
        <v>132</v>
      </c>
      <c r="D18" s="124" t="s">
        <v>133</v>
      </c>
      <c r="E18" s="124" t="s">
        <v>134</v>
      </c>
      <c r="F18" s="124" t="s">
        <v>135</v>
      </c>
      <c r="G18" s="124" t="s">
        <v>136</v>
      </c>
      <c r="H18" s="124" t="s">
        <v>137</v>
      </c>
      <c r="I18" s="124" t="s">
        <v>138</v>
      </c>
      <c r="J18" s="124" t="s">
        <v>139</v>
      </c>
      <c r="K18" s="124" t="s">
        <v>140</v>
      </c>
      <c r="L18" s="124" t="s">
        <v>177</v>
      </c>
    </row>
    <row r="19" spans="1:12" ht="13">
      <c r="A19" s="134" t="s">
        <v>22</v>
      </c>
      <c r="B19" s="128">
        <f>SUM('Regular Season'!C4:C17)</f>
        <v>1815</v>
      </c>
      <c r="C19" s="128">
        <f>SUM('Regular Season'!E4:E17)</f>
        <v>167</v>
      </c>
      <c r="D19" s="123">
        <f>SUM('Regular Season'!F4:F17)</f>
        <v>80</v>
      </c>
      <c r="E19" s="128">
        <f>C19*4</f>
        <v>668</v>
      </c>
      <c r="F19" s="128">
        <f>D19*6</f>
        <v>480</v>
      </c>
      <c r="G19" s="128">
        <f>E19+F19</f>
        <v>1148</v>
      </c>
      <c r="H19" s="136">
        <f>IFERROR(G19/B19,0)</f>
        <v>0.63250688705234159</v>
      </c>
      <c r="I19" s="128">
        <f>SUM('Regular Season'!G4:G17)</f>
        <v>47</v>
      </c>
      <c r="J19" s="130">
        <f>IFERROR(I19/(COUNTIFS('Regular Season'!H4:H17,"Win")+COUNTIFS('Regular Season'!H4:H17,"Loss")),0)</f>
        <v>4.7</v>
      </c>
      <c r="K19" s="130">
        <f>IFERROR(B19/(COUNTIFS('Regular Season'!H4:H17,"Win")+COUNTIFS('Regular Season'!H4:H17,"Loss")),0)</f>
        <v>181.5</v>
      </c>
      <c r="L19" s="137">
        <f>IFERROR((C19+(D19*1.5))/(COUNTIFS('Regular Season'!H4:H17,"Win")+COUNTIFS('Regular Season'!H4:H17,"Loss")),0)</f>
        <v>28.7</v>
      </c>
    </row>
    <row r="20" spans="1:12" ht="13">
      <c r="A20" s="134" t="s">
        <v>23</v>
      </c>
      <c r="B20" s="128">
        <f>SUM('Regular Season'!J4:J17)</f>
        <v>1860</v>
      </c>
      <c r="C20" s="128">
        <f>SUM('Regular Season'!L4:L17)</f>
        <v>156</v>
      </c>
      <c r="D20" s="128">
        <f>SUM('Regular Season'!M4:M17)</f>
        <v>97</v>
      </c>
      <c r="E20" s="128">
        <f t="shared" ref="E20:E28" si="3">C20*4</f>
        <v>624</v>
      </c>
      <c r="F20" s="128">
        <f t="shared" ref="F20:F28" si="4">D20*6</f>
        <v>582</v>
      </c>
      <c r="G20" s="128">
        <f t="shared" ref="G20:G28" si="5">E20+F20</f>
        <v>1206</v>
      </c>
      <c r="H20" s="136">
        <f t="shared" ref="H20:H28" si="6">IFERROR(G20/B20,0)</f>
        <v>0.64838709677419359</v>
      </c>
      <c r="I20" s="128">
        <f>SUM('Regular Season'!N4:N17)</f>
        <v>78</v>
      </c>
      <c r="J20" s="130">
        <f>IFERROR(I20/(COUNTIFS('Regular Season'!O4:O17,"Win")+COUNTIFS('Regular Season'!O4:O17,"Loss")),0)</f>
        <v>7.8</v>
      </c>
      <c r="K20" s="130">
        <f>IFERROR(B20/(COUNTIFS('Regular Season'!O4:O17,"Win")+COUNTIFS('Regular Season'!O4:O17,"Loss")),0)</f>
        <v>186</v>
      </c>
      <c r="L20" s="137">
        <f>IFERROR((C20+(D20*1.5))/(COUNTIFS('Regular Season'!O4:O17,"Win")+COUNTIFS('Regular Season'!O4:O17,"Loss")),0)</f>
        <v>30.15</v>
      </c>
    </row>
    <row r="21" spans="1:12" ht="13">
      <c r="A21" s="135" t="s">
        <v>24</v>
      </c>
      <c r="B21" s="128">
        <f>SUM('Regular Season'!Q4:Q17)</f>
        <v>1714</v>
      </c>
      <c r="C21" s="128">
        <f>SUM('Regular Season'!S4:S17)</f>
        <v>157</v>
      </c>
      <c r="D21" s="128">
        <f>SUM('Regular Season'!T4:T17)</f>
        <v>69</v>
      </c>
      <c r="E21" s="128">
        <f t="shared" si="3"/>
        <v>628</v>
      </c>
      <c r="F21" s="128">
        <f t="shared" si="4"/>
        <v>414</v>
      </c>
      <c r="G21" s="128">
        <f t="shared" si="5"/>
        <v>1042</v>
      </c>
      <c r="H21" s="136">
        <f t="shared" si="6"/>
        <v>0.60793465577596262</v>
      </c>
      <c r="I21" s="128">
        <f>SUM('Regular Season'!U4:U17)</f>
        <v>59</v>
      </c>
      <c r="J21" s="130">
        <f>IFERROR(I21/(COUNTIFS('Regular Season'!V4:V17,"Win")+COUNTIFS('Regular Season'!V4:V17,"Loss")),0)</f>
        <v>5.9</v>
      </c>
      <c r="K21" s="130">
        <f>IFERROR(B21/(COUNTIFS('Regular Season'!V4:V17,"Win")+COUNTIFS('Regular Season'!V4:V17,"Loss")),0)</f>
        <v>171.4</v>
      </c>
      <c r="L21" s="137">
        <f>IFERROR((C21+(D21*1.5))/(COUNTIFS('Regular Season'!V4:V17,"Win")+COUNTIFS('Regular Season'!V4:V17,"Loss")),0)</f>
        <v>26.05</v>
      </c>
    </row>
    <row r="22" spans="1:12" ht="13">
      <c r="A22" s="135" t="s">
        <v>25</v>
      </c>
      <c r="B22" s="128">
        <f>SUM('Regular Season'!X4:X17)</f>
        <v>1860</v>
      </c>
      <c r="C22" s="128">
        <f>SUM('Regular Season'!Z4:Z17)</f>
        <v>149</v>
      </c>
      <c r="D22" s="123">
        <f>SUM('Regular Season'!AA4:AA17)</f>
        <v>110</v>
      </c>
      <c r="E22" s="128">
        <f t="shared" si="3"/>
        <v>596</v>
      </c>
      <c r="F22" s="128">
        <f t="shared" si="4"/>
        <v>660</v>
      </c>
      <c r="G22" s="128">
        <f t="shared" si="5"/>
        <v>1256</v>
      </c>
      <c r="H22" s="136">
        <f t="shared" si="6"/>
        <v>0.6752688172043011</v>
      </c>
      <c r="I22" s="128">
        <f>SUM('Regular Season'!AB4:AB17)</f>
        <v>44</v>
      </c>
      <c r="J22" s="130">
        <f>IFERROR(I22/(COUNTIFS('Regular Season'!AC4:AC17,"Win")+COUNTIFS('Regular Season'!AC4:AC17,"Loss")),0)</f>
        <v>4.4000000000000004</v>
      </c>
      <c r="K22" s="130">
        <f>IFERROR(B22/(COUNTIFS('Regular Season'!AC4:AC17,"Win")+COUNTIFS('Regular Season'!AC4:AC17,"Loss")),0)</f>
        <v>186</v>
      </c>
      <c r="L22" s="137">
        <f>IFERROR((C22+(D22*1.5))/(COUNTIFS('Regular Season'!AC4:AC17,"Win")+COUNTIFS('Regular Season'!AC4:AC17,"Loss")),0)</f>
        <v>31.4</v>
      </c>
    </row>
    <row r="23" spans="1:12" ht="13">
      <c r="A23" s="135" t="s">
        <v>26</v>
      </c>
      <c r="B23" s="128">
        <f>SUM('Regular Season'!AE4:AE17)</f>
        <v>1844</v>
      </c>
      <c r="C23" s="128">
        <f>SUM('Regular Season'!AG4:AG17)</f>
        <v>160</v>
      </c>
      <c r="D23" s="128">
        <f>SUM('Regular Season'!AH4:AH17)</f>
        <v>100</v>
      </c>
      <c r="E23" s="128">
        <f t="shared" si="3"/>
        <v>640</v>
      </c>
      <c r="F23" s="128">
        <f t="shared" si="4"/>
        <v>600</v>
      </c>
      <c r="G23" s="128">
        <f t="shared" si="5"/>
        <v>1240</v>
      </c>
      <c r="H23" s="136">
        <f t="shared" si="6"/>
        <v>0.67245119305856837</v>
      </c>
      <c r="I23" s="128">
        <f>SUM('Regular Season'!AI4:AI17)</f>
        <v>71</v>
      </c>
      <c r="J23" s="130">
        <f>IFERROR(I23/(COUNTIFS('Regular Season'!AJ4:AJ17,"Win")+COUNTIFS('Regular Season'!AJ4:AJ17,"Loss")),0)</f>
        <v>7.1</v>
      </c>
      <c r="K23" s="130">
        <f>IFERROR(B23/(COUNTIFS('Regular Season'!AJ4:AJ17,"Win")+COUNTIFS('Regular Season'!AJ4:AJ17,"Loss")),0)</f>
        <v>184.4</v>
      </c>
      <c r="L23" s="137">
        <f>IFERROR((C23+(D23*1.5))/(COUNTIFS('Regular Season'!AJ4:AJ17,"Win")+COUNTIFS('Regular Season'!AJ4:AJ17,"Loss")),0)</f>
        <v>31</v>
      </c>
    </row>
    <row r="24" spans="1:12" ht="13">
      <c r="A24" s="135" t="s">
        <v>27</v>
      </c>
      <c r="B24" s="128">
        <f>SUM('Regular Season'!AL4:AL17)</f>
        <v>1801</v>
      </c>
      <c r="C24" s="128">
        <f>SUM('Regular Season'!AN4:AN17)</f>
        <v>161</v>
      </c>
      <c r="D24" s="128">
        <f>SUM('Regular Season'!AO4:AO17)</f>
        <v>80</v>
      </c>
      <c r="E24" s="128">
        <f t="shared" si="3"/>
        <v>644</v>
      </c>
      <c r="F24" s="128">
        <f t="shared" si="4"/>
        <v>480</v>
      </c>
      <c r="G24" s="128">
        <f t="shared" si="5"/>
        <v>1124</v>
      </c>
      <c r="H24" s="136">
        <f t="shared" si="6"/>
        <v>0.62409772348695169</v>
      </c>
      <c r="I24" s="128">
        <f>SUM('Regular Season'!AP4:AP17)</f>
        <v>58</v>
      </c>
      <c r="J24" s="130">
        <f>IFERROR(I24/(COUNTIFS('Regular Season'!AQ4:AQ17,"Win")+COUNTIFS('Regular Season'!AQ4:AQ17,"Loss")),0)</f>
        <v>5.8</v>
      </c>
      <c r="K24" s="130">
        <f>IFERROR(B24/(COUNTIFS('Regular Season'!AQ4:AQ17,"Win")+COUNTIFS('Regular Season'!AQ4:AQ17,"Loss")),0)</f>
        <v>180.1</v>
      </c>
      <c r="L24" s="137">
        <f>IFERROR((C24+(D24*1.5))/(COUNTIFS('Regular Season'!AQ4:AQ17,"Win")+COUNTIFS('Regular Season'!AQ4:AQ17,"Loss")),0)</f>
        <v>28.1</v>
      </c>
    </row>
    <row r="25" spans="1:12" ht="13">
      <c r="A25" s="135" t="s">
        <v>28</v>
      </c>
      <c r="B25" s="128">
        <f>SUM('Regular Season'!AS4:AS17)</f>
        <v>1902</v>
      </c>
      <c r="C25" s="128">
        <f>SUM('Regular Season'!AU4:AU17)</f>
        <v>147</v>
      </c>
      <c r="D25" s="128">
        <f>SUM('Regular Season'!AV4:AV17)</f>
        <v>121</v>
      </c>
      <c r="E25" s="128">
        <f t="shared" si="3"/>
        <v>588</v>
      </c>
      <c r="F25" s="128">
        <f t="shared" si="4"/>
        <v>726</v>
      </c>
      <c r="G25" s="128">
        <f t="shared" si="5"/>
        <v>1314</v>
      </c>
      <c r="H25" s="136">
        <f t="shared" si="6"/>
        <v>0.69085173501577291</v>
      </c>
      <c r="I25" s="128">
        <f>SUM('Regular Season'!AW4:AW17)</f>
        <v>68</v>
      </c>
      <c r="J25" s="130">
        <f>IFERROR(I25/(COUNTIFS('Regular Season'!AX4:AX17,"Win")+COUNTIFS('Regular Season'!AX4:AX17,"Loss")),0)</f>
        <v>7.5555555555555554</v>
      </c>
      <c r="K25" s="130">
        <f>IFERROR(B25/(COUNTIFS('Regular Season'!AX4:AX17,"Win")+COUNTIFS('Regular Season'!AX4:AX17,"Loss")),0)</f>
        <v>211.33333333333334</v>
      </c>
      <c r="L25" s="137">
        <f>IFERROR((C25+(D25*1.5))/(COUNTIFS('Regular Season'!AX4:AX17,"Win")+COUNTIFS('Regular Season'!AX4:AX17,"Loss")),0)</f>
        <v>36.5</v>
      </c>
    </row>
    <row r="26" spans="1:12" ht="13">
      <c r="A26" s="135" t="s">
        <v>29</v>
      </c>
      <c r="B26" s="128">
        <f>SUM('Regular Season'!AZ4:AZ17)</f>
        <v>1705</v>
      </c>
      <c r="C26" s="128">
        <f>SUM('Regular Season'!BB4:BB17)</f>
        <v>137</v>
      </c>
      <c r="D26" s="128">
        <f>SUM('Regular Season'!BC4:BC17)</f>
        <v>83</v>
      </c>
      <c r="E26" s="128">
        <f t="shared" si="3"/>
        <v>548</v>
      </c>
      <c r="F26" s="128">
        <f t="shared" si="4"/>
        <v>498</v>
      </c>
      <c r="G26" s="128">
        <f t="shared" si="5"/>
        <v>1046</v>
      </c>
      <c r="H26" s="136">
        <f t="shared" si="6"/>
        <v>0.61348973607038126</v>
      </c>
      <c r="I26" s="128">
        <f>SUM('Regular Season'!BD4:BD17)</f>
        <v>56</v>
      </c>
      <c r="J26" s="130">
        <f>IFERROR(I26/(COUNTIFS('Regular Season'!BE4:BE17,"Win")+COUNTIFS('Regular Season'!BE4:BE17,"Loss")),0)</f>
        <v>5.6</v>
      </c>
      <c r="K26" s="130">
        <f>IFERROR(B26/(COUNTIFS('Regular Season'!BE4:BE17,"Win")+COUNTIFS('Regular Season'!BE4:BE17,"Loss")),0)</f>
        <v>170.5</v>
      </c>
      <c r="L26" s="137">
        <f>IFERROR((C26+(D26*1.5))/(COUNTIFS('Regular Season'!BE4:BE17,"Win")+COUNTIFS('Regular Season'!BE4:BE17,"Loss")),0)</f>
        <v>26.15</v>
      </c>
    </row>
    <row r="27" spans="1:12" ht="13">
      <c r="A27" s="135" t="s">
        <v>30</v>
      </c>
      <c r="B27" s="128">
        <f>SUM('Regular Season'!BG4:BG17)</f>
        <v>1416</v>
      </c>
      <c r="C27" s="128">
        <f>SUM('Regular Season'!BI4:BI17)</f>
        <v>120</v>
      </c>
      <c r="D27" s="128">
        <f>SUM('Regular Season'!BJ4:BJ17)</f>
        <v>62</v>
      </c>
      <c r="E27" s="128">
        <f t="shared" si="3"/>
        <v>480</v>
      </c>
      <c r="F27" s="128">
        <f t="shared" si="4"/>
        <v>372</v>
      </c>
      <c r="G27" s="128">
        <f t="shared" si="5"/>
        <v>852</v>
      </c>
      <c r="H27" s="136">
        <f t="shared" si="6"/>
        <v>0.60169491525423724</v>
      </c>
      <c r="I27" s="128">
        <f>SUM('Regular Season'!BK4:BK17)</f>
        <v>54</v>
      </c>
      <c r="J27" s="130">
        <f>IFERROR(I27/(COUNTIFS('Regular Season'!BL4:BL17,"Win")+COUNTIFS('Regular Season'!BL4:BL17,"Loss")),0)</f>
        <v>6.75</v>
      </c>
      <c r="K27" s="130">
        <f>IFERROR(B27/(COUNTIFS('Regular Season'!BL4:BL17,"Win")+COUNTIFS('Regular Season'!BL4:BL17,"Loss")),0)</f>
        <v>177</v>
      </c>
      <c r="L27" s="137">
        <f>IFERROR((C27+(D27*1.5))/(COUNTIFS('Regular Season'!BL4:BL17,"Win")+COUNTIFS('Regular Season'!BL4:BL17,"Loss")),0)</f>
        <v>26.625</v>
      </c>
    </row>
    <row r="28" spans="1:12" ht="13">
      <c r="A28" s="135" t="s">
        <v>31</v>
      </c>
      <c r="B28" s="128">
        <f>SUM('Regular Season'!BN4:BN17)</f>
        <v>2332</v>
      </c>
      <c r="C28" s="128">
        <f>SUM('Regular Season'!BP4:BP17)</f>
        <v>192</v>
      </c>
      <c r="D28" s="128">
        <f>SUM('Regular Season'!BQ4:BQ17)</f>
        <v>134</v>
      </c>
      <c r="E28" s="128">
        <f t="shared" si="3"/>
        <v>768</v>
      </c>
      <c r="F28" s="128">
        <f t="shared" si="4"/>
        <v>804</v>
      </c>
      <c r="G28" s="128">
        <f t="shared" si="5"/>
        <v>1572</v>
      </c>
      <c r="H28" s="136">
        <f t="shared" si="6"/>
        <v>0.67409948542024012</v>
      </c>
      <c r="I28" s="128">
        <f>SUM('Regular Season'!BR4:BR17)</f>
        <v>87</v>
      </c>
      <c r="J28" s="130">
        <f>IFERROR(I28/(COUNTIFS('Regular Season'!BS4:BS17,"Win")+COUNTIFS('Regular Season'!BS4:BS17,"Loss")),0)</f>
        <v>7.9090909090909092</v>
      </c>
      <c r="K28" s="130">
        <f>IFERROR(B28/(COUNTIFS('Regular Season'!BS4:BS17,"Win")+COUNTIFS('Regular Season'!BS4:BS17,"Loss")),0)</f>
        <v>212</v>
      </c>
      <c r="L28" s="137">
        <f>IFERROR((C28+(D28*1.5))/(COUNTIFS('Regular Season'!BS4:BS17,"Win")+COUNTIFS('Regular Season'!BS4:BS17,"Loss")),0)</f>
        <v>35.727272727272727</v>
      </c>
    </row>
    <row r="31" spans="1:12" ht="22" customHeight="1">
      <c r="A31" s="195" t="s">
        <v>141</v>
      </c>
      <c r="B31" s="196"/>
      <c r="C31" s="196"/>
      <c r="D31" s="196"/>
      <c r="E31" s="138"/>
      <c r="F31" s="138"/>
      <c r="G31" s="138"/>
      <c r="H31" s="138"/>
      <c r="I31" s="138"/>
      <c r="J31" s="138"/>
      <c r="K31" s="138"/>
      <c r="L31" s="138"/>
    </row>
    <row r="32" spans="1:12">
      <c r="A32" s="124" t="s">
        <v>117</v>
      </c>
      <c r="B32" s="124" t="s">
        <v>142</v>
      </c>
      <c r="C32" s="124" t="s">
        <v>143</v>
      </c>
      <c r="D32" s="124" t="s">
        <v>144</v>
      </c>
    </row>
    <row r="33" spans="1:4" ht="13">
      <c r="A33" s="134" t="s">
        <v>22</v>
      </c>
      <c r="B33" s="126">
        <f>COUNTIFS('Regular Season'!H4:H17,"Win",'Regular Season'!H4:H17,"&lt;&gt;")-MAX(0,COUNTIFS('Regular Season'!H4:H17,"Win",'Regular Season'!H4:H17,"&lt;&gt;")-5)</f>
        <v>5</v>
      </c>
      <c r="C33" s="126">
        <f>B33*2</f>
        <v>10</v>
      </c>
      <c r="D33" s="126" t="str">
        <f>IF(B33&gt;=4,"🔥 Hot",IF(B33&gt;=3,"✅ Good",IF(B33&gt;=2,"⚠️ Average","❌ Poor")))</f>
        <v>🔥 Hot</v>
      </c>
    </row>
    <row r="34" spans="1:4" ht="13">
      <c r="A34" s="134" t="s">
        <v>23</v>
      </c>
      <c r="B34" s="126">
        <f>COUNTIFS('Regular Season'!O4:O17,"Win",'Regular Season'!O4:O17,"&lt;&gt;")-MAX(0,COUNTIFS('Regular Season'!O4:O17,"Win",'Regular Season'!O4:O17,"&lt;&gt;")-5)</f>
        <v>3</v>
      </c>
      <c r="C34" s="126">
        <f t="shared" ref="C34:C42" si="7">B34*2</f>
        <v>6</v>
      </c>
      <c r="D34" s="126" t="str">
        <f t="shared" ref="D34:D42" si="8">IF(B34&gt;=4,"🔥 Hot",IF(B34&gt;=3,"✅ Good",IF(B34&gt;=2,"⚠️ Average","❌ Poor")))</f>
        <v>✅ Good</v>
      </c>
    </row>
    <row r="35" spans="1:4" ht="13">
      <c r="A35" s="135" t="s">
        <v>24</v>
      </c>
      <c r="B35" s="126">
        <f>COUNTIFS('Regular Season'!V4:V17,"Win",'Regular Season'!V4:V17,"&lt;&gt;")-MAX(0,COUNTIFS('Regular Season'!V4:V17,"Win",'Regular Season'!V4:V17,"&lt;&gt;")-5)</f>
        <v>5</v>
      </c>
      <c r="C35" s="126">
        <f t="shared" si="7"/>
        <v>10</v>
      </c>
      <c r="D35" s="126" t="str">
        <f t="shared" si="8"/>
        <v>🔥 Hot</v>
      </c>
    </row>
    <row r="36" spans="1:4" ht="13">
      <c r="A36" s="135" t="s">
        <v>25</v>
      </c>
      <c r="B36" s="126">
        <f>COUNTIFS('Regular Season'!AC4:AC17,"Win",'Regular Season'!AC4:AC17,"&lt;&gt;")-MAX(0,COUNTIFS('Regular Season'!AC4:AC17,"Win",'Regular Season'!AC4:AC17,"&lt;&gt;")-5)</f>
        <v>5</v>
      </c>
      <c r="C36" s="126">
        <f t="shared" si="7"/>
        <v>10</v>
      </c>
      <c r="D36" s="126" t="str">
        <f t="shared" si="8"/>
        <v>🔥 Hot</v>
      </c>
    </row>
    <row r="37" spans="1:4" ht="13">
      <c r="A37" s="135" t="s">
        <v>26</v>
      </c>
      <c r="B37" s="126">
        <f>COUNTIFS('Regular Season'!AJ4:AJ17,"Win",'Regular Season'!AJ4:AJ17,"&lt;&gt;")-MAX(0,COUNTIFS('Regular Season'!AJ4:AJ17,"Win",'Regular Season'!AJ4:AJ17,"&lt;&gt;")-5)</f>
        <v>5</v>
      </c>
      <c r="C37" s="126">
        <f t="shared" si="7"/>
        <v>10</v>
      </c>
      <c r="D37" s="126" t="str">
        <f t="shared" si="8"/>
        <v>🔥 Hot</v>
      </c>
    </row>
    <row r="38" spans="1:4" ht="13">
      <c r="A38" s="135" t="s">
        <v>27</v>
      </c>
      <c r="B38" s="126">
        <f>COUNTIFS('Regular Season'!AQ4:AQ17,"Win",'Regular Season'!AQ4:AQ17,"&lt;&gt;")-MAX(0,COUNTIFS('Regular Season'!AQ4:AQ17,"Win",'Regular Season'!AQ4:AQ17,"&lt;&gt;")-5)</f>
        <v>4</v>
      </c>
      <c r="C38" s="126">
        <f t="shared" si="7"/>
        <v>8</v>
      </c>
      <c r="D38" s="126" t="str">
        <f t="shared" si="8"/>
        <v>🔥 Hot</v>
      </c>
    </row>
    <row r="39" spans="1:4" ht="13">
      <c r="A39" s="135" t="s">
        <v>28</v>
      </c>
      <c r="B39" s="126">
        <f>COUNTIFS('Regular Season'!AX4:AX17,"Win",'Regular Season'!AX4:AX17,"&lt;&gt;")-MAX(0,COUNTIFS('Regular Season'!AX4:AX17,"Win",'Regular Season'!AX4:AX17,"&lt;&gt;")-5)</f>
        <v>5</v>
      </c>
      <c r="C39" s="126">
        <f t="shared" si="7"/>
        <v>10</v>
      </c>
      <c r="D39" s="126" t="str">
        <f t="shared" si="8"/>
        <v>🔥 Hot</v>
      </c>
    </row>
    <row r="40" spans="1:4" ht="13">
      <c r="A40" s="135" t="s">
        <v>29</v>
      </c>
      <c r="B40" s="126">
        <f>COUNTIFS('Regular Season'!BE4:BE17,"Win",'Regular Season'!BE4:BE17,"&lt;&gt;")-MAX(0,COUNTIFS('Regular Season'!BE4:BE17,"Win",'Regular Season'!BE4:BE17,"&lt;&gt;")-5)</f>
        <v>3</v>
      </c>
      <c r="C40" s="126">
        <f t="shared" si="7"/>
        <v>6</v>
      </c>
      <c r="D40" s="126" t="str">
        <f t="shared" si="8"/>
        <v>✅ Good</v>
      </c>
    </row>
    <row r="41" spans="1:4" ht="13">
      <c r="A41" s="135" t="s">
        <v>30</v>
      </c>
      <c r="B41" s="126">
        <f>COUNTIFS('Regular Season'!BL4:BL17,"Win",'Regular Season'!BL4:BL17,"&lt;&gt;")-MAX(0,COUNTIFS('Regular Season'!BL4:BL17,"Win",'Regular Season'!BL4:BL17,"&lt;&gt;")-5)</f>
        <v>3</v>
      </c>
      <c r="C41" s="126">
        <f t="shared" si="7"/>
        <v>6</v>
      </c>
      <c r="D41" s="126" t="str">
        <f t="shared" si="8"/>
        <v>✅ Good</v>
      </c>
    </row>
    <row r="42" spans="1:4" ht="13">
      <c r="A42" s="135" t="s">
        <v>31</v>
      </c>
      <c r="B42" s="126">
        <f>COUNTIFS('Regular Season'!BS4:BS17,"Win",'Regular Season'!BS4:BS17,"&lt;&gt;")-MAX(0,COUNTIFS('Regular Season'!BS4:BS17,"Win",'Regular Season'!BS4:BS17,"&lt;&gt;")-5)</f>
        <v>5</v>
      </c>
      <c r="C42" s="126">
        <f t="shared" si="7"/>
        <v>10</v>
      </c>
      <c r="D42" s="126" t="str">
        <f t="shared" si="8"/>
        <v>🔥 Hot</v>
      </c>
    </row>
  </sheetData>
  <mergeCells count="4">
    <mergeCell ref="A1:L1"/>
    <mergeCell ref="A3:L3"/>
    <mergeCell ref="A17:L17"/>
    <mergeCell ref="A31:D3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5B8B6-EC41-42D3-B91A-358A164051C8}">
  <sheetPr codeName="Sheet3"/>
  <dimension ref="A2:Z43"/>
  <sheetViews>
    <sheetView zoomScale="94" workbookViewId="0">
      <selection activeCell="F7" sqref="F7"/>
    </sheetView>
  </sheetViews>
  <sheetFormatPr defaultRowHeight="12.5"/>
  <cols>
    <col min="1" max="1" width="3.7265625" customWidth="1"/>
    <col min="2" max="3" width="6.54296875" bestFit="1" customWidth="1"/>
    <col min="4" max="4" width="7.7265625" bestFit="1" customWidth="1"/>
    <col min="5" max="6" width="4.26953125" bestFit="1" customWidth="1"/>
    <col min="7" max="7" width="6.26953125" bestFit="1" customWidth="1"/>
    <col min="8" max="8" width="9.453125" bestFit="1" customWidth="1"/>
    <col min="9" max="9" width="10.7265625" bestFit="1" customWidth="1"/>
    <col min="10" max="10" width="6.54296875" bestFit="1" customWidth="1"/>
    <col min="11" max="11" width="8.26953125" bestFit="1" customWidth="1"/>
    <col min="12" max="12" width="17" bestFit="1" customWidth="1"/>
  </cols>
  <sheetData>
    <row r="2" spans="1:18" ht="23">
      <c r="A2" s="139"/>
      <c r="B2" s="201" t="s">
        <v>145</v>
      </c>
      <c r="C2" s="201"/>
      <c r="D2" s="201"/>
      <c r="E2" s="201"/>
      <c r="F2" s="201"/>
      <c r="G2" s="201"/>
      <c r="H2" s="201"/>
      <c r="I2" s="201"/>
      <c r="J2" s="201"/>
      <c r="K2" s="201"/>
      <c r="L2" s="201"/>
      <c r="M2" s="201"/>
      <c r="N2" s="201"/>
      <c r="O2" s="201"/>
      <c r="P2" s="201"/>
      <c r="Q2" s="201"/>
      <c r="R2" s="201"/>
    </row>
    <row r="4" spans="1:18" ht="14">
      <c r="A4" s="140"/>
      <c r="B4" s="197" t="s">
        <v>146</v>
      </c>
      <c r="C4" s="197"/>
      <c r="D4" s="197"/>
      <c r="E4" s="197"/>
      <c r="F4" s="197"/>
      <c r="G4" s="197"/>
      <c r="H4" s="197"/>
      <c r="J4" s="197" t="s">
        <v>150</v>
      </c>
      <c r="K4" s="197"/>
      <c r="L4" s="197"/>
    </row>
    <row r="5" spans="1:18" ht="13">
      <c r="B5" s="124" t="s">
        <v>101</v>
      </c>
      <c r="C5" s="124" t="s">
        <v>18</v>
      </c>
      <c r="D5" s="124" t="s">
        <v>147</v>
      </c>
      <c r="E5" s="124" t="s">
        <v>148</v>
      </c>
      <c r="F5" s="124" t="s">
        <v>149</v>
      </c>
      <c r="G5" s="124" t="s">
        <v>106</v>
      </c>
      <c r="H5" s="124" t="s">
        <v>104</v>
      </c>
      <c r="J5" s="199" t="s">
        <v>130</v>
      </c>
      <c r="K5" s="199"/>
      <c r="L5" s="147">
        <f>'Regular Season'!C29</f>
        <v>18249</v>
      </c>
    </row>
    <row r="6" spans="1:18" ht="13">
      <c r="B6" s="141">
        <f>Tables!J3</f>
        <v>1</v>
      </c>
      <c r="C6" s="142" t="str">
        <f>Tables!K3</f>
        <v>SRH</v>
      </c>
      <c r="D6" s="142">
        <f>Tables!L3</f>
        <v>11</v>
      </c>
      <c r="E6" s="142">
        <f>Tables!M3</f>
        <v>7</v>
      </c>
      <c r="F6" s="142">
        <f>Tables!N3</f>
        <v>4</v>
      </c>
      <c r="G6" s="142">
        <f>Tables!O3</f>
        <v>0</v>
      </c>
      <c r="H6" s="143">
        <f>Tables!P3</f>
        <v>14</v>
      </c>
      <c r="J6" s="199" t="s">
        <v>151</v>
      </c>
      <c r="K6" s="199"/>
      <c r="L6" s="147">
        <f>'Regular Season'!C30</f>
        <v>593</v>
      </c>
    </row>
    <row r="7" spans="1:18" ht="13">
      <c r="B7" s="144">
        <f>Tables!J4</f>
        <v>2</v>
      </c>
      <c r="C7" s="128" t="str">
        <f>Tables!K4</f>
        <v>PBKS</v>
      </c>
      <c r="D7" s="128">
        <f>Tables!L4</f>
        <v>9</v>
      </c>
      <c r="E7" s="128">
        <f>Tables!M4</f>
        <v>6</v>
      </c>
      <c r="F7" s="128">
        <f>Tables!N4</f>
        <v>3</v>
      </c>
      <c r="G7" s="128">
        <f>Tables!O4</f>
        <v>1</v>
      </c>
      <c r="H7" s="131">
        <f>Tables!P4</f>
        <v>13</v>
      </c>
      <c r="J7" s="199" t="s">
        <v>152</v>
      </c>
      <c r="K7" s="199"/>
      <c r="L7" s="147">
        <f>'Regular Season'!C32</f>
        <v>1546</v>
      </c>
    </row>
    <row r="8" spans="1:18" ht="13">
      <c r="B8" s="145">
        <f>Tables!J5</f>
        <v>3</v>
      </c>
      <c r="C8" s="142" t="str">
        <f>Tables!K5</f>
        <v>RCB</v>
      </c>
      <c r="D8" s="142">
        <f>Tables!L5</f>
        <v>10</v>
      </c>
      <c r="E8" s="142">
        <f>Tables!M5</f>
        <v>6</v>
      </c>
      <c r="F8" s="142">
        <f>Tables!N5</f>
        <v>4</v>
      </c>
      <c r="G8" s="142">
        <f>Tables!O5</f>
        <v>0</v>
      </c>
      <c r="H8" s="143">
        <f>Tables!P5</f>
        <v>12</v>
      </c>
      <c r="J8" s="199" t="s">
        <v>153</v>
      </c>
      <c r="K8" s="199"/>
      <c r="L8" s="147">
        <f>'Regular Season'!C33</f>
        <v>936</v>
      </c>
    </row>
    <row r="9" spans="1:18" ht="13">
      <c r="B9" s="146">
        <f>Tables!J6</f>
        <v>4</v>
      </c>
      <c r="C9" s="128" t="str">
        <f>Tables!K6</f>
        <v>RR</v>
      </c>
      <c r="D9" s="128">
        <f>Tables!L6</f>
        <v>10</v>
      </c>
      <c r="E9" s="128">
        <f>Tables!M6</f>
        <v>6</v>
      </c>
      <c r="F9" s="128">
        <f>Tables!N6</f>
        <v>4</v>
      </c>
      <c r="G9" s="128">
        <f>Tables!O6</f>
        <v>0</v>
      </c>
      <c r="H9" s="131">
        <f>Tables!P6</f>
        <v>12</v>
      </c>
      <c r="J9" s="199" t="s">
        <v>110</v>
      </c>
      <c r="K9" s="199"/>
      <c r="L9" s="147">
        <f>'Regular Season'!C31</f>
        <v>622</v>
      </c>
    </row>
    <row r="10" spans="1:18" ht="13">
      <c r="B10" s="146">
        <f>Tables!J7</f>
        <v>5</v>
      </c>
      <c r="C10" s="142" t="str">
        <f>Tables!K7</f>
        <v>GT</v>
      </c>
      <c r="D10" s="142">
        <f>Tables!L7</f>
        <v>11</v>
      </c>
      <c r="E10" s="142">
        <f>Tables!M7</f>
        <v>6</v>
      </c>
      <c r="F10" s="142">
        <f>Tables!N7</f>
        <v>5</v>
      </c>
      <c r="G10" s="142">
        <f>Tables!O7</f>
        <v>0</v>
      </c>
      <c r="H10" s="143">
        <f>Tables!P7</f>
        <v>12</v>
      </c>
      <c r="J10" s="199" t="s">
        <v>154</v>
      </c>
      <c r="K10" s="199"/>
      <c r="L10" s="147">
        <f>'Regular Season'!C34</f>
        <v>11800</v>
      </c>
    </row>
    <row r="11" spans="1:18" ht="13">
      <c r="B11" s="146">
        <f>Tables!J8</f>
        <v>6</v>
      </c>
      <c r="C11" s="128" t="str">
        <f>Tables!K8</f>
        <v>CSK</v>
      </c>
      <c r="D11" s="128">
        <f>Tables!L8</f>
        <v>10</v>
      </c>
      <c r="E11" s="128">
        <f>Tables!M8</f>
        <v>5</v>
      </c>
      <c r="F11" s="128">
        <f>Tables!N8</f>
        <v>5</v>
      </c>
      <c r="G11" s="128">
        <f>Tables!O8</f>
        <v>0</v>
      </c>
      <c r="H11" s="131">
        <f>Tables!P8</f>
        <v>10</v>
      </c>
      <c r="J11" s="199" t="s">
        <v>155</v>
      </c>
      <c r="K11" s="199"/>
      <c r="L11" s="153">
        <f>'Regular Season'!C20</f>
        <v>264.47826086956519</v>
      </c>
    </row>
    <row r="12" spans="1:18" ht="13">
      <c r="B12" s="146">
        <f>Tables!J9</f>
        <v>7</v>
      </c>
      <c r="C12" s="142" t="str">
        <f>Tables!K9</f>
        <v>DC</v>
      </c>
      <c r="D12" s="142">
        <f>Tables!L9</f>
        <v>10</v>
      </c>
      <c r="E12" s="142">
        <f>Tables!M9</f>
        <v>4</v>
      </c>
      <c r="F12" s="142">
        <f>Tables!N9</f>
        <v>6</v>
      </c>
      <c r="G12" s="142">
        <f>Tables!O9</f>
        <v>0</v>
      </c>
      <c r="H12" s="143">
        <f>Tables!P9</f>
        <v>8</v>
      </c>
      <c r="J12" s="199" t="s">
        <v>156</v>
      </c>
      <c r="K12" s="199"/>
      <c r="L12" s="153">
        <f>'Regular Season'!C21</f>
        <v>8.5942028985507246</v>
      </c>
    </row>
    <row r="13" spans="1:18" ht="13">
      <c r="B13" s="146">
        <f>Tables!J10</f>
        <v>8</v>
      </c>
      <c r="C13" s="128" t="str">
        <f>Tables!K10</f>
        <v>KKR</v>
      </c>
      <c r="D13" s="128">
        <f>Tables!L10</f>
        <v>8</v>
      </c>
      <c r="E13" s="128">
        <f>Tables!M10</f>
        <v>3</v>
      </c>
      <c r="F13" s="128">
        <f>Tables!N10</f>
        <v>5</v>
      </c>
      <c r="G13" s="128">
        <f>Tables!O10</f>
        <v>1</v>
      </c>
      <c r="H13" s="131">
        <f>Tables!P10</f>
        <v>7</v>
      </c>
      <c r="J13" s="199" t="s">
        <v>157</v>
      </c>
      <c r="K13" s="199"/>
      <c r="L13" s="153">
        <f>'Regular Season'!C22</f>
        <v>22.405797101449274</v>
      </c>
    </row>
    <row r="14" spans="1:18" ht="13">
      <c r="B14" s="146">
        <f>Tables!J11</f>
        <v>9</v>
      </c>
      <c r="C14" s="142" t="str">
        <f>Tables!K11</f>
        <v>MI</v>
      </c>
      <c r="D14" s="142">
        <f>Tables!L11</f>
        <v>10</v>
      </c>
      <c r="E14" s="142">
        <f>Tables!M11</f>
        <v>3</v>
      </c>
      <c r="F14" s="142">
        <f>Tables!N11</f>
        <v>7</v>
      </c>
      <c r="G14" s="142">
        <f>Tables!O11</f>
        <v>0</v>
      </c>
      <c r="H14" s="143">
        <f>Tables!P11</f>
        <v>6</v>
      </c>
      <c r="J14" s="199" t="s">
        <v>158</v>
      </c>
      <c r="K14" s="199"/>
      <c r="L14" s="153">
        <f>'Regular Season'!C23</f>
        <v>13.565217391304348</v>
      </c>
    </row>
    <row r="15" spans="1:18">
      <c r="B15" s="146">
        <f>Tables!J12</f>
        <v>10</v>
      </c>
      <c r="C15" s="128" t="str">
        <f>Tables!K12</f>
        <v>LSG</v>
      </c>
      <c r="D15" s="128">
        <f>Tables!L12</f>
        <v>10</v>
      </c>
      <c r="E15" s="128">
        <f>Tables!M12</f>
        <v>3</v>
      </c>
      <c r="F15" s="128">
        <f>Tables!N12</f>
        <v>7</v>
      </c>
      <c r="G15" s="128">
        <f>Tables!O12</f>
        <v>0</v>
      </c>
      <c r="H15" s="131">
        <f>Tables!P12</f>
        <v>6</v>
      </c>
    </row>
    <row r="17" spans="2:12" ht="15.5">
      <c r="B17" s="200" t="s">
        <v>159</v>
      </c>
      <c r="C17" s="200"/>
      <c r="D17" s="200"/>
      <c r="E17" s="200"/>
      <c r="F17" s="200"/>
      <c r="G17" s="200"/>
      <c r="H17" s="200"/>
      <c r="J17" s="197" t="s">
        <v>164</v>
      </c>
      <c r="K17" s="197"/>
      <c r="L17" s="197"/>
    </row>
    <row r="18" spans="2:12" ht="14">
      <c r="B18" s="198" t="s">
        <v>160</v>
      </c>
      <c r="C18" s="198"/>
      <c r="D18" s="198"/>
      <c r="E18" s="198"/>
      <c r="F18" s="198"/>
      <c r="G18" s="198"/>
      <c r="H18" s="149">
        <f>'Regular Season'!B37</f>
        <v>17</v>
      </c>
      <c r="J18" s="148" t="s">
        <v>18</v>
      </c>
      <c r="K18" s="148" t="s">
        <v>104</v>
      </c>
      <c r="L18" s="148" t="s">
        <v>165</v>
      </c>
    </row>
    <row r="19" spans="2:12" ht="14">
      <c r="B19" s="198" t="s">
        <v>161</v>
      </c>
      <c r="C19" s="198"/>
      <c r="D19" s="198"/>
      <c r="E19" s="198"/>
      <c r="F19" s="198"/>
      <c r="G19" s="198"/>
      <c r="H19" s="150">
        <f>'Regular Season'!B35</f>
        <v>31</v>
      </c>
      <c r="J19" s="142" t="str">
        <f>Tables!K3</f>
        <v>SRH</v>
      </c>
      <c r="K19" s="147">
        <f>Tables!P3</f>
        <v>14</v>
      </c>
      <c r="L19" s="149">
        <f>IFERROR(ROUND(Tables!P3/Tables!L3*14,0),0)</f>
        <v>18</v>
      </c>
    </row>
    <row r="20" spans="2:12" ht="14">
      <c r="B20" s="198" t="s">
        <v>162</v>
      </c>
      <c r="C20" s="198"/>
      <c r="D20" s="198"/>
      <c r="E20" s="198"/>
      <c r="F20" s="198"/>
      <c r="G20" s="198"/>
      <c r="H20" s="151">
        <f>'Regular Season'!B41</f>
        <v>1</v>
      </c>
      <c r="J20" s="142" t="str">
        <f>Tables!K4</f>
        <v>PBKS</v>
      </c>
      <c r="K20" s="147">
        <f>Tables!P4</f>
        <v>13</v>
      </c>
      <c r="L20" s="149">
        <f>IFERROR(ROUND(Tables!P4/Tables!L4*14,0),0)</f>
        <v>20</v>
      </c>
    </row>
    <row r="21" spans="2:12" ht="14">
      <c r="B21" s="198" t="s">
        <v>163</v>
      </c>
      <c r="C21" s="198"/>
      <c r="D21" s="198"/>
      <c r="E21" s="198"/>
      <c r="F21" s="198"/>
      <c r="G21" s="198"/>
      <c r="H21" s="152">
        <f>'Regular Season'!B39</f>
        <v>1</v>
      </c>
      <c r="J21" s="142" t="str">
        <f>Tables!K5</f>
        <v>RCB</v>
      </c>
      <c r="K21" s="147">
        <f>Tables!P5</f>
        <v>12</v>
      </c>
      <c r="L21" s="149">
        <f>IFERROR(ROUND(Tables!P5/Tables!L5*14,0),0)</f>
        <v>17</v>
      </c>
    </row>
    <row r="22" spans="2:12">
      <c r="J22" s="142" t="str">
        <f>Tables!K6</f>
        <v>RR</v>
      </c>
      <c r="K22" s="147">
        <f>Tables!P6</f>
        <v>12</v>
      </c>
      <c r="L22" s="149">
        <f>IFERROR(ROUND(Tables!P6/Tables!L6*14,0),0)</f>
        <v>17</v>
      </c>
    </row>
    <row r="23" spans="2:12">
      <c r="J23" s="142" t="str">
        <f>Tables!K7</f>
        <v>GT</v>
      </c>
      <c r="K23" s="147">
        <f>Tables!P7</f>
        <v>12</v>
      </c>
      <c r="L23" s="145">
        <f>IFERROR(ROUND(Tables!P7/Tables!L7*14,0),0)</f>
        <v>15</v>
      </c>
    </row>
    <row r="24" spans="2:12">
      <c r="J24" s="142" t="str">
        <f>Tables!K8</f>
        <v>CSK</v>
      </c>
      <c r="K24" s="147">
        <f>Tables!P8</f>
        <v>10</v>
      </c>
      <c r="L24" s="145">
        <f>IFERROR(ROUND(Tables!P8/Tables!L8*14,0),0)</f>
        <v>14</v>
      </c>
    </row>
    <row r="25" spans="2:12">
      <c r="J25" s="142" t="str">
        <f>Tables!K9</f>
        <v>DC</v>
      </c>
      <c r="K25" s="147">
        <f>Tables!P9</f>
        <v>8</v>
      </c>
      <c r="L25" s="145">
        <f>IFERROR(ROUND(Tables!P9/Tables!L9*14,0),0)</f>
        <v>11</v>
      </c>
    </row>
    <row r="26" spans="2:12">
      <c r="J26" s="142" t="str">
        <f>Tables!K10</f>
        <v>KKR</v>
      </c>
      <c r="K26" s="147">
        <f>Tables!P10</f>
        <v>7</v>
      </c>
      <c r="L26" s="145">
        <f>IFERROR(ROUND(Tables!P10/Tables!L10*14,0),0)</f>
        <v>12</v>
      </c>
    </row>
    <row r="27" spans="2:12">
      <c r="J27" s="142" t="str">
        <f>Tables!K11</f>
        <v>MI</v>
      </c>
      <c r="K27" s="147">
        <f>Tables!P11</f>
        <v>6</v>
      </c>
      <c r="L27" s="145">
        <f>IFERROR(ROUND(Tables!P11/Tables!L11*14,0),0)</f>
        <v>8</v>
      </c>
    </row>
    <row r="28" spans="2:12">
      <c r="J28" s="142" t="str">
        <f>Tables!K12</f>
        <v>LSG</v>
      </c>
      <c r="K28" s="147">
        <f>Tables!P12</f>
        <v>6</v>
      </c>
      <c r="L28" s="145">
        <f>IFERROR(ROUND(Tables!P12/Tables!L12*14,0),0)</f>
        <v>8</v>
      </c>
    </row>
    <row r="32" spans="2:12" ht="14">
      <c r="B32" s="197" t="s">
        <v>166</v>
      </c>
      <c r="C32" s="197"/>
      <c r="D32" s="197"/>
      <c r="E32" s="197"/>
      <c r="F32" s="197"/>
      <c r="G32" s="197"/>
      <c r="H32" s="197"/>
      <c r="I32" s="197"/>
      <c r="J32" s="197"/>
      <c r="K32" s="197"/>
      <c r="L32" s="197"/>
    </row>
    <row r="33" spans="2:26">
      <c r="B33" s="124" t="s">
        <v>18</v>
      </c>
      <c r="C33" s="124" t="s">
        <v>65</v>
      </c>
      <c r="D33" s="124" t="s">
        <v>67</v>
      </c>
      <c r="E33" s="124" t="s">
        <v>17</v>
      </c>
      <c r="F33" s="124" t="s">
        <v>15</v>
      </c>
      <c r="G33" s="124" t="s">
        <v>111</v>
      </c>
      <c r="H33" s="124" t="s">
        <v>167</v>
      </c>
      <c r="I33" s="124" t="s">
        <v>168</v>
      </c>
      <c r="J33" s="124" t="s">
        <v>169</v>
      </c>
      <c r="K33" s="124" t="s">
        <v>170</v>
      </c>
      <c r="L33" s="124" t="s">
        <v>96</v>
      </c>
      <c r="P33" s="157"/>
      <c r="Q33" s="157"/>
      <c r="R33" s="157"/>
      <c r="S33" s="157"/>
      <c r="T33" s="157"/>
      <c r="U33" s="157"/>
      <c r="V33" s="157"/>
      <c r="W33" s="157"/>
      <c r="X33" s="157"/>
      <c r="Y33" s="157"/>
      <c r="Z33" s="157"/>
    </row>
    <row r="34" spans="2:26">
      <c r="B34" s="142" t="s">
        <v>22</v>
      </c>
      <c r="C34" s="142">
        <f>'Regular Season'!C18</f>
        <v>1815</v>
      </c>
      <c r="D34" s="142">
        <f>'Regular Season'!D18</f>
        <v>62</v>
      </c>
      <c r="E34" s="142">
        <f>'Regular Season'!E18</f>
        <v>167</v>
      </c>
      <c r="F34" s="142">
        <f>'Regular Season'!F18</f>
        <v>80</v>
      </c>
      <c r="G34" s="142">
        <f>'Regular Season'!G18</f>
        <v>47</v>
      </c>
      <c r="H34" s="155">
        <f>IFERROR(C34/('Regular Season'!H18+'Regular Season'!H19),0)</f>
        <v>181.5</v>
      </c>
      <c r="I34" s="156">
        <f>IFERROR((E34*4+F34*6)/C34,0)</f>
        <v>0.63250688705234159</v>
      </c>
      <c r="J34" s="156">
        <f>IFERROR('Regular Season'!H18/('Regular Season'!H18+'Regular Season'!H19),0)</f>
        <v>0.5</v>
      </c>
      <c r="K34" s="142" t="str">
        <f>IF(J34&gt;=0.6,"🔥 Hot",IF(J34&gt;=0.4,"✅ OK","❌ Cold"))</f>
        <v>✅ OK</v>
      </c>
      <c r="L34" s="142" t="str">
        <f>IFERROR(TEXT(Tables!G3,"0.000"),"")</f>
        <v>0.151</v>
      </c>
    </row>
    <row r="35" spans="2:26" ht="13">
      <c r="B35" s="154" t="s">
        <v>23</v>
      </c>
      <c r="C35" s="128">
        <f>'Regular Season'!J18</f>
        <v>1860</v>
      </c>
      <c r="D35" s="128">
        <f>'Regular Season'!K18</f>
        <v>45</v>
      </c>
      <c r="E35" s="128">
        <f>'Regular Season'!L18</f>
        <v>156</v>
      </c>
      <c r="F35" s="128">
        <f>'Regular Season'!M18</f>
        <v>97</v>
      </c>
      <c r="G35" s="128">
        <f>'Regular Season'!N18</f>
        <v>78</v>
      </c>
      <c r="H35" s="130">
        <f>IFERROR(C35/('Regular Season'!O18+'Regular Season'!O19),0)</f>
        <v>186</v>
      </c>
      <c r="I35" s="136">
        <f t="shared" ref="I35:I43" si="0">IFERROR((E35*4+F35*6)/C35,0)</f>
        <v>0.64838709677419359</v>
      </c>
      <c r="J35" s="136">
        <f>IFERROR('Regular Season'!O18/('Regular Season'!O18+'Regular Season'!O19),0)</f>
        <v>0.3</v>
      </c>
      <c r="K35" s="128" t="str">
        <f t="shared" ref="K35:K43" si="1">IF(J35&gt;=0.6,"🔥 Hot",IF(J35&gt;=0.4,"✅ OK","❌ Cold"))</f>
        <v>❌ Cold</v>
      </c>
      <c r="L35" s="128" t="str">
        <f>IFERROR(TEXT(Tables!G8,"0.000"),"")</f>
        <v>-0.649</v>
      </c>
    </row>
    <row r="36" spans="2:26">
      <c r="B36" s="142" t="s">
        <v>24</v>
      </c>
      <c r="C36" s="142">
        <f>'Regular Season'!Q18</f>
        <v>1714</v>
      </c>
      <c r="D36" s="142">
        <f>'Regular Season'!R18</f>
        <v>75</v>
      </c>
      <c r="E36" s="142">
        <f>'Regular Season'!S18</f>
        <v>157</v>
      </c>
      <c r="F36" s="142">
        <f>'Regular Season'!T18</f>
        <v>69</v>
      </c>
      <c r="G36" s="142">
        <f>'Regular Season'!U18</f>
        <v>59</v>
      </c>
      <c r="H36" s="155">
        <f>IFERROR(C36/('Regular Season'!V18+'Regular Season'!V19),0)</f>
        <v>171.4</v>
      </c>
      <c r="I36" s="156">
        <f t="shared" si="0"/>
        <v>0.60793465577596262</v>
      </c>
      <c r="J36" s="156">
        <f>IFERROR('Regular Season'!V18/('Regular Season'!V18+'Regular Season'!V19),0)</f>
        <v>0.6</v>
      </c>
      <c r="K36" s="142" t="str">
        <f t="shared" si="1"/>
        <v>🔥 Hot</v>
      </c>
      <c r="L36" s="142" t="str">
        <f>IFERROR(TEXT(Tables!G5,"0.000"),"")</f>
        <v>-0.147</v>
      </c>
    </row>
    <row r="37" spans="2:26" ht="13">
      <c r="B37" s="154" t="s">
        <v>25</v>
      </c>
      <c r="C37" s="128">
        <f>'Regular Season'!X18</f>
        <v>1860</v>
      </c>
      <c r="D37" s="128">
        <f>'Regular Season'!Y18</f>
        <v>64</v>
      </c>
      <c r="E37" s="128">
        <f>'Regular Season'!Z18</f>
        <v>149</v>
      </c>
      <c r="F37" s="128">
        <f>'Regular Season'!AA18</f>
        <v>110</v>
      </c>
      <c r="G37" s="128">
        <f>'Regular Season'!AB18</f>
        <v>44</v>
      </c>
      <c r="H37" s="130">
        <f>IFERROR(C37/('Regular Season'!AC18+'Regular Season'!AC19),0)</f>
        <v>186</v>
      </c>
      <c r="I37" s="136">
        <f t="shared" si="0"/>
        <v>0.6752688172043011</v>
      </c>
      <c r="J37" s="136">
        <f>IFERROR('Regular Season'!AC18/('Regular Season'!AC18+'Regular Season'!AC19),0)</f>
        <v>0.6</v>
      </c>
      <c r="K37" s="128" t="str">
        <f t="shared" si="1"/>
        <v>🔥 Hot</v>
      </c>
      <c r="L37" s="128" t="str">
        <f>IFERROR(TEXT(Tables!G11,"0.000"),"")</f>
        <v>1.255</v>
      </c>
    </row>
    <row r="38" spans="2:26">
      <c r="B38" s="142" t="s">
        <v>26</v>
      </c>
      <c r="C38" s="142">
        <f>'Regular Season'!AE18</f>
        <v>1844</v>
      </c>
      <c r="D38" s="142">
        <f>'Regular Season'!AF18</f>
        <v>69</v>
      </c>
      <c r="E38" s="142">
        <f>'Regular Season'!AG18</f>
        <v>160</v>
      </c>
      <c r="F38" s="142">
        <f>'Regular Season'!AH18</f>
        <v>100</v>
      </c>
      <c r="G38" s="142">
        <f>'Regular Season'!AI18</f>
        <v>71</v>
      </c>
      <c r="H38" s="155">
        <f>IFERROR(C38/('Regular Season'!AJ18+'Regular Season'!AJ19),0)</f>
        <v>184.4</v>
      </c>
      <c r="I38" s="156">
        <f t="shared" si="0"/>
        <v>0.67245119305856837</v>
      </c>
      <c r="J38" s="156">
        <f>IFERROR('Regular Season'!AJ18/('Regular Season'!AJ18+'Regular Season'!AJ19),0)</f>
        <v>0.6</v>
      </c>
      <c r="K38" s="142" t="str">
        <f t="shared" si="1"/>
        <v>🔥 Hot</v>
      </c>
      <c r="L38" s="142" t="str">
        <f>IFERROR(TEXT(Tables!G10,"0.000"),"")</f>
        <v>0.510</v>
      </c>
    </row>
    <row r="39" spans="2:26" ht="13">
      <c r="B39" s="154" t="s">
        <v>27</v>
      </c>
      <c r="C39" s="128">
        <f>'Regular Season'!AL18</f>
        <v>1801</v>
      </c>
      <c r="D39" s="128">
        <f>'Regular Season'!AM18</f>
        <v>45</v>
      </c>
      <c r="E39" s="128">
        <f>'Regular Season'!AN18</f>
        <v>161</v>
      </c>
      <c r="F39" s="128">
        <f>'Regular Season'!AO18</f>
        <v>80</v>
      </c>
      <c r="G39" s="128">
        <f>'Regular Season'!AP18</f>
        <v>58</v>
      </c>
      <c r="H39" s="130">
        <f>IFERROR(C39/('Regular Season'!AQ18+'Regular Season'!AQ19),0)</f>
        <v>180.1</v>
      </c>
      <c r="I39" s="136">
        <f t="shared" si="0"/>
        <v>0.62409772348695169</v>
      </c>
      <c r="J39" s="136">
        <f>IFERROR('Regular Season'!AQ18/('Regular Season'!AQ18+'Regular Season'!AQ19),0)</f>
        <v>0.4</v>
      </c>
      <c r="K39" s="128" t="str">
        <f t="shared" si="1"/>
        <v>✅ OK</v>
      </c>
      <c r="L39" s="128" t="str">
        <f>IFERROR(TEXT(Tables!G4,"0.000"),"")</f>
        <v>-0.949</v>
      </c>
    </row>
    <row r="40" spans="2:26">
      <c r="B40" s="142" t="s">
        <v>28</v>
      </c>
      <c r="C40" s="142">
        <f>'Regular Season'!AS18</f>
        <v>1902</v>
      </c>
      <c r="D40" s="142">
        <f>'Regular Season'!AT18</f>
        <v>49</v>
      </c>
      <c r="E40" s="142">
        <f>'Regular Season'!AU18</f>
        <v>147</v>
      </c>
      <c r="F40" s="142">
        <f>'Regular Season'!AV18</f>
        <v>121</v>
      </c>
      <c r="G40" s="142">
        <f>'Regular Season'!AW18</f>
        <v>68</v>
      </c>
      <c r="H40" s="155">
        <f>IFERROR(C40/('Regular Season'!AX18+'Regular Season'!AX19),0)</f>
        <v>211.33333333333334</v>
      </c>
      <c r="I40" s="156">
        <f t="shared" si="0"/>
        <v>0.69085173501577291</v>
      </c>
      <c r="J40" s="156">
        <f>IFERROR('Regular Season'!AX18/('Regular Season'!AX18+'Regular Season'!AX19),0)</f>
        <v>0.66666666666666663</v>
      </c>
      <c r="K40" s="142" t="str">
        <f t="shared" si="1"/>
        <v>🔥 Hot</v>
      </c>
      <c r="L40" s="142" t="str">
        <f>IFERROR(TEXT(Tables!G9,"0.000"),"")</f>
        <v>0.518</v>
      </c>
    </row>
    <row r="41" spans="2:26" ht="13">
      <c r="B41" s="154" t="s">
        <v>29</v>
      </c>
      <c r="C41" s="128">
        <f>'Regular Season'!AZ18</f>
        <v>1705</v>
      </c>
      <c r="D41" s="128">
        <f>'Regular Season'!BA18</f>
        <v>55</v>
      </c>
      <c r="E41" s="128">
        <f>'Regular Season'!BB18</f>
        <v>137</v>
      </c>
      <c r="F41" s="128">
        <f>'Regular Season'!BC18</f>
        <v>83</v>
      </c>
      <c r="G41" s="128">
        <f>'Regular Season'!BD18</f>
        <v>56</v>
      </c>
      <c r="H41" s="130">
        <f>IFERROR(C41/('Regular Season'!BE18+'Regular Season'!BE19),0)</f>
        <v>170.5</v>
      </c>
      <c r="I41" s="136">
        <f t="shared" si="0"/>
        <v>0.61348973607038126</v>
      </c>
      <c r="J41" s="136">
        <f>IFERROR('Regular Season'!BE18/('Regular Season'!BE18+'Regular Season'!BE19),0)</f>
        <v>0.3</v>
      </c>
      <c r="K41" s="128" t="str">
        <f t="shared" si="1"/>
        <v>❌ Cold</v>
      </c>
      <c r="L41" s="128" t="str">
        <f>IFERROR(TEXT(Tables!G7,"0.000"),"")</f>
        <v>-0.918</v>
      </c>
    </row>
    <row r="42" spans="2:26">
      <c r="B42" s="142" t="s">
        <v>30</v>
      </c>
      <c r="C42" s="142">
        <f>'Regular Season'!BG18</f>
        <v>1416</v>
      </c>
      <c r="D42" s="142">
        <f>'Regular Season'!BH18</f>
        <v>58</v>
      </c>
      <c r="E42" s="142">
        <f>'Regular Season'!BI18</f>
        <v>120</v>
      </c>
      <c r="F42" s="142">
        <f>'Regular Season'!BJ18</f>
        <v>62</v>
      </c>
      <c r="G42" s="142">
        <f>'Regular Season'!BK18</f>
        <v>54</v>
      </c>
      <c r="H42" s="155">
        <f>IFERROR(C42/('Regular Season'!BL18+'Regular Season'!BL19),0)</f>
        <v>177</v>
      </c>
      <c r="I42" s="156">
        <f t="shared" si="0"/>
        <v>0.60169491525423724</v>
      </c>
      <c r="J42" s="156">
        <f>IFERROR('Regular Season'!BL18/('Regular Season'!BL18+'Regular Season'!BL19),0)</f>
        <v>0.375</v>
      </c>
      <c r="K42" s="142" t="str">
        <f t="shared" si="1"/>
        <v>❌ Cold</v>
      </c>
      <c r="L42" s="142" t="str">
        <f>IFERROR(TEXT(Tables!G6,"0.000"),"")</f>
        <v>-0.866</v>
      </c>
    </row>
    <row r="43" spans="2:26" ht="13">
      <c r="B43" s="154" t="s">
        <v>31</v>
      </c>
      <c r="C43" s="128">
        <f>'Regular Season'!BN18</f>
        <v>2332</v>
      </c>
      <c r="D43" s="128">
        <f>'Regular Season'!BO18</f>
        <v>71</v>
      </c>
      <c r="E43" s="128">
        <f>'Regular Season'!BP18</f>
        <v>192</v>
      </c>
      <c r="F43" s="128">
        <f>'Regular Season'!BQ18</f>
        <v>134</v>
      </c>
      <c r="G43" s="128">
        <f>'Regular Season'!BR18</f>
        <v>87</v>
      </c>
      <c r="H43" s="130">
        <f>IFERROR(C43/('Regular Season'!BS18+'Regular Season'!BS19),0)</f>
        <v>212</v>
      </c>
      <c r="I43" s="136">
        <f t="shared" si="0"/>
        <v>0.67409948542024012</v>
      </c>
      <c r="J43" s="136">
        <f>IFERROR('Regular Season'!BS18/('Regular Season'!BS18+'Regular Season'!BS19),0)</f>
        <v>0.63636363636363635</v>
      </c>
      <c r="K43" s="128" t="str">
        <f t="shared" si="1"/>
        <v>🔥 Hot</v>
      </c>
      <c r="L43" s="128" t="str">
        <f>IFERROR(TEXT(Tables!G12,"0.000"),"")</f>
        <v>0.732</v>
      </c>
    </row>
  </sheetData>
  <mergeCells count="20">
    <mergeCell ref="B2:R2"/>
    <mergeCell ref="B4:H4"/>
    <mergeCell ref="J4:L4"/>
    <mergeCell ref="J5:K5"/>
    <mergeCell ref="J6:K6"/>
    <mergeCell ref="J7:K7"/>
    <mergeCell ref="J8:K8"/>
    <mergeCell ref="J9:K9"/>
    <mergeCell ref="J10:K10"/>
    <mergeCell ref="J11:K11"/>
    <mergeCell ref="B32:L32"/>
    <mergeCell ref="B19:G19"/>
    <mergeCell ref="B20:G20"/>
    <mergeCell ref="B21:G21"/>
    <mergeCell ref="J12:K12"/>
    <mergeCell ref="J13:K13"/>
    <mergeCell ref="J14:K14"/>
    <mergeCell ref="B17:H17"/>
    <mergeCell ref="B18:G18"/>
    <mergeCell ref="J17:L17"/>
  </mergeCells>
  <conditionalFormatting sqref="B34:L43">
    <cfRule type="cellIs" dxfId="5" priority="3" operator="equal">
      <formula>"Hot"</formula>
    </cfRule>
  </conditionalFormatting>
  <conditionalFormatting sqref="L34:L43">
    <cfRule type="cellIs" dxfId="4" priority="1" operator="equal">
      <formula>"-"</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B14DC-6172-4463-A103-E0ED8BD43A81}">
  <sheetPr codeName="Sheet4"/>
  <dimension ref="A1:BE64"/>
  <sheetViews>
    <sheetView showGridLines="0" tabSelected="1" topLeftCell="A22" zoomScale="90" zoomScaleNormal="90" zoomScaleSheetLayoutView="100" workbookViewId="0">
      <selection activeCell="AX64" sqref="AX64"/>
    </sheetView>
  </sheetViews>
  <sheetFormatPr defaultRowHeight="12.5"/>
  <cols>
    <col min="10" max="11" width="9.1796875" style="7"/>
    <col min="22" max="23" width="9.1796875" style="7"/>
    <col min="38" max="39" width="9.1796875" style="8"/>
  </cols>
  <sheetData>
    <row r="1" spans="3:57" s="6" customFormat="1">
      <c r="C1" s="203"/>
      <c r="D1" s="203"/>
      <c r="E1" s="203"/>
      <c r="F1" s="203"/>
      <c r="G1" s="203"/>
      <c r="H1" s="203"/>
      <c r="I1" s="203"/>
      <c r="J1" s="202"/>
      <c r="K1" s="202"/>
      <c r="L1" s="203"/>
      <c r="M1" s="203"/>
      <c r="N1" s="203"/>
      <c r="O1" s="203"/>
      <c r="P1" s="203"/>
      <c r="Q1" s="203"/>
      <c r="R1" s="203"/>
      <c r="S1" s="203"/>
      <c r="T1" s="203"/>
      <c r="U1" s="203"/>
      <c r="V1" s="202"/>
      <c r="W1" s="202"/>
      <c r="X1" s="203"/>
      <c r="Y1" s="203"/>
      <c r="Z1" s="203"/>
      <c r="AA1" s="203"/>
      <c r="AB1" s="203"/>
      <c r="AC1" s="203"/>
      <c r="AD1" s="203"/>
      <c r="AE1" s="203"/>
      <c r="AF1" s="203"/>
      <c r="AG1" s="203"/>
      <c r="AH1" s="203"/>
      <c r="AI1" s="203"/>
      <c r="AJ1" s="203"/>
      <c r="AK1" s="203"/>
      <c r="AL1" s="8"/>
      <c r="AM1" s="8"/>
      <c r="AN1" s="203"/>
      <c r="AO1" s="203"/>
      <c r="AP1" s="203"/>
      <c r="AQ1" s="203"/>
      <c r="AR1" s="203"/>
      <c r="AS1" s="203"/>
      <c r="AT1" s="203"/>
      <c r="AU1" s="203"/>
      <c r="AV1" s="203"/>
      <c r="AW1" s="203"/>
      <c r="AX1" s="203"/>
      <c r="AY1" s="203"/>
      <c r="AZ1" s="203"/>
      <c r="BA1" s="203"/>
      <c r="BB1" s="203"/>
      <c r="BC1" s="203"/>
      <c r="BD1" s="203"/>
      <c r="BE1" s="203"/>
    </row>
    <row r="2" spans="3:57" s="6" customFormat="1">
      <c r="C2" s="203"/>
      <c r="D2" s="203"/>
      <c r="E2" s="203"/>
      <c r="F2" s="203"/>
      <c r="G2" s="203"/>
      <c r="H2" s="203"/>
      <c r="I2" s="203"/>
      <c r="J2" s="202"/>
      <c r="K2" s="202"/>
      <c r="L2" s="203"/>
      <c r="M2" s="203"/>
      <c r="N2" s="203"/>
      <c r="O2" s="203"/>
      <c r="P2" s="203"/>
      <c r="Q2" s="203"/>
      <c r="R2" s="203"/>
      <c r="S2" s="203"/>
      <c r="T2" s="203"/>
      <c r="U2" s="203"/>
      <c r="V2" s="202"/>
      <c r="W2" s="202"/>
      <c r="X2" s="203"/>
      <c r="Y2" s="203"/>
      <c r="Z2" s="203"/>
      <c r="AA2" s="203"/>
      <c r="AB2" s="203"/>
      <c r="AC2" s="203"/>
      <c r="AD2" s="203"/>
      <c r="AE2" s="203"/>
      <c r="AF2" s="203"/>
      <c r="AG2" s="203"/>
      <c r="AH2" s="203"/>
      <c r="AI2" s="203"/>
      <c r="AJ2" s="203"/>
      <c r="AK2" s="203"/>
      <c r="AL2" s="8"/>
      <c r="AM2" s="8"/>
      <c r="AN2" s="203"/>
      <c r="AO2" s="203"/>
      <c r="AP2" s="203"/>
      <c r="AQ2" s="203"/>
      <c r="AR2" s="203"/>
      <c r="AS2" s="203"/>
      <c r="AT2" s="203"/>
      <c r="AU2" s="203"/>
      <c r="AV2" s="203"/>
      <c r="AW2" s="203"/>
      <c r="AX2" s="203"/>
      <c r="AY2" s="203"/>
      <c r="AZ2" s="203"/>
      <c r="BA2" s="203"/>
      <c r="BB2" s="203"/>
      <c r="BC2" s="203"/>
      <c r="BD2" s="203"/>
      <c r="BE2" s="203"/>
    </row>
    <row r="3" spans="3:57" s="6" customFormat="1">
      <c r="C3" s="203"/>
      <c r="D3" s="203"/>
      <c r="E3" s="203"/>
      <c r="F3" s="203"/>
      <c r="G3" s="203"/>
      <c r="H3" s="203"/>
      <c r="I3" s="203"/>
      <c r="J3" s="202"/>
      <c r="K3" s="202"/>
      <c r="L3" s="203"/>
      <c r="M3" s="203"/>
      <c r="N3" s="203"/>
      <c r="O3" s="203"/>
      <c r="P3" s="203"/>
      <c r="Q3" s="203"/>
      <c r="R3" s="203"/>
      <c r="S3" s="203"/>
      <c r="T3" s="203"/>
      <c r="U3" s="203"/>
      <c r="V3" s="202"/>
      <c r="W3" s="202"/>
      <c r="X3" s="203"/>
      <c r="Y3" s="203"/>
      <c r="Z3" s="203"/>
      <c r="AA3" s="203"/>
      <c r="AB3" s="203"/>
      <c r="AC3" s="203"/>
      <c r="AD3" s="203"/>
      <c r="AE3" s="203"/>
      <c r="AF3" s="203"/>
      <c r="AG3" s="203"/>
      <c r="AH3" s="203"/>
      <c r="AI3" s="203"/>
      <c r="AJ3" s="203"/>
      <c r="AK3" s="203"/>
      <c r="AL3" s="8"/>
      <c r="AM3" s="8"/>
      <c r="AN3" s="203"/>
      <c r="AO3" s="203"/>
      <c r="AP3" s="203"/>
      <c r="AQ3" s="203"/>
      <c r="AR3" s="203"/>
      <c r="AS3" s="203"/>
      <c r="AT3" s="203"/>
      <c r="AU3" s="203"/>
      <c r="AV3" s="203"/>
      <c r="AW3" s="203"/>
      <c r="AX3" s="203"/>
      <c r="AY3" s="203"/>
      <c r="AZ3" s="203"/>
      <c r="BA3" s="203"/>
      <c r="BB3" s="203"/>
      <c r="BC3" s="203"/>
      <c r="BD3" s="203"/>
      <c r="BE3" s="203"/>
    </row>
    <row r="4" spans="3:57" s="6" customFormat="1">
      <c r="C4" s="203"/>
      <c r="D4" s="203"/>
      <c r="E4" s="203"/>
      <c r="F4" s="203"/>
      <c r="G4" s="203"/>
      <c r="H4" s="203"/>
      <c r="I4" s="203"/>
      <c r="J4" s="202"/>
      <c r="K4" s="202"/>
      <c r="L4" s="203"/>
      <c r="M4" s="203"/>
      <c r="N4" s="203"/>
      <c r="O4" s="203"/>
      <c r="P4" s="203"/>
      <c r="Q4" s="203"/>
      <c r="R4" s="203"/>
      <c r="S4" s="203"/>
      <c r="T4" s="203"/>
      <c r="U4" s="203"/>
      <c r="V4" s="202"/>
      <c r="W4" s="202"/>
      <c r="X4" s="203"/>
      <c r="Y4" s="203"/>
      <c r="Z4" s="203"/>
      <c r="AA4" s="203"/>
      <c r="AB4" s="203"/>
      <c r="AC4" s="203"/>
      <c r="AD4" s="203"/>
      <c r="AE4" s="203"/>
      <c r="AF4" s="203"/>
      <c r="AG4" s="203"/>
      <c r="AH4" s="203"/>
      <c r="AI4" s="203"/>
      <c r="AJ4" s="203"/>
      <c r="AK4" s="203"/>
      <c r="AL4" s="8"/>
      <c r="AM4" s="8"/>
      <c r="AN4" s="203"/>
      <c r="AO4" s="203"/>
      <c r="AP4" s="203"/>
      <c r="AQ4" s="203"/>
      <c r="AR4" s="203"/>
      <c r="AS4" s="203"/>
      <c r="AT4" s="203"/>
      <c r="AU4" s="203"/>
      <c r="AV4" s="203"/>
      <c r="AW4" s="203"/>
      <c r="AX4" s="203"/>
      <c r="AY4" s="203"/>
      <c r="AZ4" s="203"/>
      <c r="BA4" s="203"/>
      <c r="BB4" s="203"/>
      <c r="BC4" s="203"/>
      <c r="BD4" s="203"/>
      <c r="BE4" s="203"/>
    </row>
    <row r="5" spans="3:57">
      <c r="J5" s="202"/>
      <c r="K5" s="202"/>
      <c r="V5" s="202"/>
      <c r="W5" s="202"/>
    </row>
    <row r="6" spans="3:57">
      <c r="J6" s="202"/>
      <c r="K6" s="202"/>
      <c r="V6" s="202"/>
      <c r="W6" s="202"/>
    </row>
    <row r="7" spans="3:57">
      <c r="J7" s="202"/>
      <c r="K7" s="202"/>
      <c r="V7" s="202"/>
      <c r="W7" s="202"/>
    </row>
    <row r="8" spans="3:57">
      <c r="J8" s="202"/>
      <c r="K8" s="202"/>
      <c r="V8" s="202"/>
      <c r="W8" s="202"/>
    </row>
    <row r="9" spans="3:57">
      <c r="J9" s="202"/>
      <c r="K9" s="202"/>
      <c r="V9" s="202"/>
      <c r="W9" s="202"/>
    </row>
    <row r="10" spans="3:57">
      <c r="J10" s="202"/>
      <c r="K10" s="202"/>
      <c r="V10" s="202"/>
      <c r="W10" s="202"/>
    </row>
    <row r="11" spans="3:57">
      <c r="J11" s="202"/>
      <c r="K11" s="202"/>
      <c r="V11" s="202"/>
      <c r="W11" s="202"/>
    </row>
    <row r="12" spans="3:57">
      <c r="J12" s="202"/>
      <c r="K12" s="202"/>
      <c r="V12" s="202"/>
      <c r="W12" s="202"/>
    </row>
    <row r="13" spans="3:57">
      <c r="J13" s="202"/>
      <c r="K13" s="202"/>
      <c r="V13" s="202"/>
      <c r="W13" s="202"/>
    </row>
    <row r="14" spans="3:57">
      <c r="J14" s="202"/>
      <c r="K14" s="202"/>
      <c r="V14" s="202"/>
      <c r="W14" s="202"/>
    </row>
    <row r="15" spans="3:57">
      <c r="J15" s="202"/>
      <c r="K15" s="202"/>
      <c r="V15" s="202"/>
      <c r="W15" s="202"/>
    </row>
    <row r="16" spans="3:57">
      <c r="J16" s="202"/>
      <c r="K16" s="202"/>
      <c r="V16" s="202"/>
      <c r="W16" s="202"/>
    </row>
    <row r="17" spans="10:23">
      <c r="J17" s="202"/>
      <c r="K17" s="202"/>
      <c r="V17" s="202"/>
      <c r="W17" s="202"/>
    </row>
    <row r="18" spans="10:23">
      <c r="J18" s="202"/>
      <c r="K18" s="202"/>
      <c r="V18" s="202"/>
      <c r="W18" s="202"/>
    </row>
    <row r="19" spans="10:23">
      <c r="J19" s="202"/>
      <c r="K19" s="202"/>
      <c r="V19" s="202"/>
      <c r="W19" s="202"/>
    </row>
    <row r="20" spans="10:23">
      <c r="J20" s="202"/>
      <c r="K20" s="202"/>
      <c r="V20" s="202"/>
      <c r="W20" s="202"/>
    </row>
    <row r="21" spans="10:23">
      <c r="J21" s="202"/>
      <c r="K21" s="202"/>
      <c r="V21" s="202"/>
      <c r="W21" s="202"/>
    </row>
    <row r="22" spans="10:23">
      <c r="J22" s="202"/>
      <c r="K22" s="202"/>
      <c r="V22" s="202"/>
      <c r="W22" s="202"/>
    </row>
    <row r="23" spans="10:23">
      <c r="J23" s="202"/>
      <c r="K23" s="202"/>
      <c r="V23" s="202"/>
      <c r="W23" s="202"/>
    </row>
    <row r="24" spans="10:23">
      <c r="J24" s="202"/>
      <c r="K24" s="202"/>
      <c r="V24" s="202"/>
      <c r="W24" s="202"/>
    </row>
    <row r="25" spans="10:23">
      <c r="J25" s="202"/>
      <c r="K25" s="202"/>
      <c r="V25" s="202"/>
      <c r="W25" s="202"/>
    </row>
    <row r="26" spans="10:23">
      <c r="J26" s="202"/>
      <c r="K26" s="202"/>
      <c r="V26" s="202"/>
      <c r="W26" s="202"/>
    </row>
    <row r="27" spans="10:23">
      <c r="J27" s="202"/>
      <c r="K27" s="202"/>
      <c r="V27" s="202"/>
      <c r="W27" s="202"/>
    </row>
    <row r="28" spans="10:23">
      <c r="J28" s="202"/>
      <c r="K28" s="202"/>
      <c r="V28" s="202"/>
      <c r="W28" s="202"/>
    </row>
    <row r="29" spans="10:23">
      <c r="J29" s="202"/>
      <c r="K29" s="202"/>
      <c r="V29" s="202"/>
      <c r="W29" s="202"/>
    </row>
    <row r="30" spans="10:23">
      <c r="J30" s="202"/>
      <c r="K30" s="202"/>
      <c r="V30" s="202"/>
      <c r="W30" s="202"/>
    </row>
    <row r="31" spans="10:23">
      <c r="J31" s="202"/>
      <c r="K31" s="202"/>
      <c r="V31" s="202"/>
      <c r="W31" s="202"/>
    </row>
    <row r="32" spans="10:23">
      <c r="J32" s="202"/>
      <c r="K32" s="202"/>
      <c r="V32" s="202"/>
      <c r="W32" s="202"/>
    </row>
    <row r="33" spans="1:39" s="6" customFormat="1">
      <c r="A33" s="203"/>
      <c r="B33" s="203"/>
      <c r="C33" s="203"/>
      <c r="D33" s="203"/>
      <c r="E33" s="203"/>
      <c r="F33" s="203"/>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c r="AG33" s="203"/>
      <c r="AH33" s="203"/>
      <c r="AI33" s="203"/>
      <c r="AJ33" s="203"/>
      <c r="AK33" s="203"/>
      <c r="AL33" s="8"/>
      <c r="AM33" s="8"/>
    </row>
    <row r="34" spans="1:39" s="6" customFormat="1">
      <c r="A34" s="203"/>
      <c r="B34" s="203"/>
      <c r="C34" s="203"/>
      <c r="D34" s="203"/>
      <c r="E34" s="203"/>
      <c r="F34" s="203"/>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c r="AG34" s="203"/>
      <c r="AH34" s="203"/>
      <c r="AI34" s="203"/>
      <c r="AJ34" s="203"/>
      <c r="AK34" s="203"/>
      <c r="AL34" s="8"/>
      <c r="AM34" s="8"/>
    </row>
    <row r="35" spans="1:39" s="6" customFormat="1">
      <c r="A35" s="203"/>
      <c r="B35" s="203"/>
      <c r="C35" s="203"/>
      <c r="D35" s="203"/>
      <c r="E35" s="203"/>
      <c r="F35" s="203"/>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c r="AG35" s="203"/>
      <c r="AH35" s="203"/>
      <c r="AI35" s="203"/>
      <c r="AJ35" s="203"/>
      <c r="AK35" s="203"/>
      <c r="AL35" s="8"/>
      <c r="AM35" s="8"/>
    </row>
    <row r="36" spans="1:39" s="6" customFormat="1">
      <c r="A36" s="203"/>
      <c r="B36" s="203"/>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c r="AI36" s="203"/>
      <c r="AJ36" s="203"/>
      <c r="AK36" s="203"/>
      <c r="AL36" s="8"/>
      <c r="AM36" s="8"/>
    </row>
    <row r="37" spans="1:39">
      <c r="J37" s="202"/>
      <c r="K37" s="202"/>
      <c r="V37" s="202"/>
      <c r="W37" s="202"/>
    </row>
    <row r="38" spans="1:39">
      <c r="J38" s="202"/>
      <c r="K38" s="202"/>
      <c r="V38" s="202"/>
      <c r="W38" s="202"/>
    </row>
    <row r="39" spans="1:39">
      <c r="J39" s="202"/>
      <c r="K39" s="202"/>
      <c r="V39" s="202"/>
      <c r="W39" s="202"/>
    </row>
    <row r="40" spans="1:39">
      <c r="J40" s="202"/>
      <c r="K40" s="202"/>
      <c r="V40" s="202"/>
      <c r="W40" s="202"/>
    </row>
    <row r="41" spans="1:39">
      <c r="J41" s="202"/>
      <c r="K41" s="202"/>
      <c r="V41" s="202"/>
      <c r="W41" s="202"/>
    </row>
    <row r="42" spans="1:39">
      <c r="J42" s="202"/>
      <c r="K42" s="202"/>
      <c r="V42" s="202"/>
      <c r="W42" s="202"/>
    </row>
    <row r="43" spans="1:39">
      <c r="J43" s="202"/>
      <c r="K43" s="202"/>
      <c r="V43" s="202"/>
      <c r="W43" s="202"/>
    </row>
    <row r="44" spans="1:39">
      <c r="J44" s="202"/>
      <c r="K44" s="202"/>
      <c r="V44" s="202"/>
      <c r="W44" s="202"/>
    </row>
    <row r="45" spans="1:39">
      <c r="J45" s="202"/>
      <c r="K45" s="202"/>
      <c r="V45" s="202"/>
      <c r="W45" s="202"/>
    </row>
    <row r="46" spans="1:39">
      <c r="J46" s="202"/>
      <c r="K46" s="202"/>
      <c r="V46" s="202"/>
      <c r="W46" s="202"/>
    </row>
    <row r="47" spans="1:39">
      <c r="J47" s="202"/>
      <c r="K47" s="202"/>
      <c r="V47" s="202"/>
      <c r="W47" s="202"/>
    </row>
    <row r="48" spans="1:39">
      <c r="J48" s="202"/>
      <c r="K48" s="202"/>
      <c r="V48" s="202"/>
      <c r="W48" s="202"/>
    </row>
    <row r="49" spans="10:23">
      <c r="J49" s="202"/>
      <c r="K49" s="202"/>
      <c r="V49" s="202"/>
      <c r="W49" s="202"/>
    </row>
    <row r="50" spans="10:23">
      <c r="J50" s="202"/>
      <c r="K50" s="202"/>
      <c r="V50" s="202"/>
      <c r="W50" s="202"/>
    </row>
    <row r="51" spans="10:23">
      <c r="J51" s="202"/>
      <c r="K51" s="202"/>
      <c r="V51" s="202"/>
      <c r="W51" s="202"/>
    </row>
    <row r="52" spans="10:23">
      <c r="J52" s="202"/>
      <c r="K52" s="202"/>
      <c r="V52" s="202"/>
      <c r="W52" s="202"/>
    </row>
    <row r="53" spans="10:23">
      <c r="J53" s="202"/>
      <c r="K53" s="202"/>
      <c r="V53" s="202"/>
      <c r="W53" s="202"/>
    </row>
    <row r="54" spans="10:23">
      <c r="J54" s="202"/>
      <c r="K54" s="202"/>
      <c r="V54" s="202"/>
      <c r="W54" s="202"/>
    </row>
    <row r="55" spans="10:23">
      <c r="J55" s="202"/>
      <c r="K55" s="202"/>
      <c r="V55" s="202"/>
      <c r="W55" s="202"/>
    </row>
    <row r="56" spans="10:23">
      <c r="J56" s="202"/>
      <c r="K56" s="202"/>
      <c r="V56" s="202"/>
      <c r="W56" s="202"/>
    </row>
    <row r="57" spans="10:23">
      <c r="J57" s="202"/>
      <c r="K57" s="202"/>
      <c r="V57" s="202"/>
      <c r="W57" s="202"/>
    </row>
    <row r="58" spans="10:23">
      <c r="J58" s="202"/>
      <c r="K58" s="202"/>
      <c r="V58" s="202"/>
      <c r="W58" s="202"/>
    </row>
    <row r="59" spans="10:23">
      <c r="J59" s="202"/>
      <c r="K59" s="202"/>
      <c r="V59" s="202"/>
      <c r="W59" s="202"/>
    </row>
    <row r="60" spans="10:23">
      <c r="J60" s="202"/>
      <c r="K60" s="202"/>
      <c r="V60" s="202"/>
      <c r="W60" s="202"/>
    </row>
    <row r="61" spans="10:23">
      <c r="J61" s="202"/>
      <c r="K61" s="202"/>
      <c r="V61" s="202"/>
      <c r="W61" s="202"/>
    </row>
    <row r="62" spans="10:23">
      <c r="J62" s="202"/>
      <c r="K62" s="202"/>
      <c r="V62" s="202"/>
      <c r="W62" s="202"/>
    </row>
    <row r="63" spans="10:23">
      <c r="J63" s="202"/>
      <c r="K63" s="202"/>
      <c r="V63" s="202"/>
      <c r="W63" s="202"/>
    </row>
    <row r="64" spans="10:23">
      <c r="J64" s="202"/>
      <c r="K64" s="202"/>
      <c r="V64" s="202"/>
      <c r="W64" s="202"/>
    </row>
  </sheetData>
  <mergeCells count="9">
    <mergeCell ref="J37:K64"/>
    <mergeCell ref="V37:W64"/>
    <mergeCell ref="AN1:BE4"/>
    <mergeCell ref="C1:I4"/>
    <mergeCell ref="L1:U4"/>
    <mergeCell ref="X1:AK4"/>
    <mergeCell ref="A33:AK36"/>
    <mergeCell ref="J1:K32"/>
    <mergeCell ref="V1:W3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CE681-F1E9-4C9C-88CD-50D64D31CCD1}">
  <sheetPr codeName="Sheet5"/>
  <dimension ref="A1:U29"/>
  <sheetViews>
    <sheetView workbookViewId="0">
      <selection activeCell="J35" sqref="J35"/>
    </sheetView>
  </sheetViews>
  <sheetFormatPr defaultColWidth="8.7265625" defaultRowHeight="12.5"/>
  <cols>
    <col min="1" max="7" width="8.7265625" style="86"/>
    <col min="8" max="8" width="0" style="86" hidden="1" customWidth="1"/>
    <col min="9" max="16" width="8.7265625" style="86"/>
    <col min="17" max="17" width="9" style="86" bestFit="1" customWidth="1"/>
    <col min="18" max="18" width="14.1796875" style="86" bestFit="1" customWidth="1"/>
    <col min="19" max="19" width="10.453125" style="86" bestFit="1" customWidth="1"/>
    <col min="20" max="20" width="5.54296875" style="86" bestFit="1" customWidth="1"/>
    <col min="21" max="21" width="13.453125" style="86" bestFit="1" customWidth="1"/>
    <col min="22" max="16384" width="8.7265625" style="86"/>
  </cols>
  <sheetData>
    <row r="1" spans="1:21">
      <c r="A1" s="204" t="s">
        <v>99</v>
      </c>
      <c r="B1" s="204"/>
      <c r="C1" s="204"/>
      <c r="D1" s="204"/>
      <c r="F1" s="204" t="s">
        <v>100</v>
      </c>
      <c r="G1" s="204"/>
      <c r="H1" s="121"/>
      <c r="J1" s="204" t="s">
        <v>105</v>
      </c>
      <c r="K1" s="204"/>
      <c r="L1" s="204"/>
      <c r="M1" s="204"/>
      <c r="N1" s="204"/>
      <c r="O1" s="204"/>
      <c r="P1" s="204"/>
      <c r="Q1" s="204"/>
      <c r="R1" s="87"/>
      <c r="S1" s="88"/>
      <c r="T1" s="88"/>
      <c r="U1" s="88"/>
    </row>
    <row r="2" spans="1:21">
      <c r="A2" s="89" t="s">
        <v>18</v>
      </c>
      <c r="B2" s="89" t="s">
        <v>19</v>
      </c>
      <c r="C2" s="89" t="s">
        <v>20</v>
      </c>
      <c r="D2" s="89" t="s">
        <v>106</v>
      </c>
      <c r="F2" s="89" t="s">
        <v>18</v>
      </c>
      <c r="G2" s="89" t="s">
        <v>96</v>
      </c>
      <c r="H2" s="88" t="s">
        <v>114</v>
      </c>
      <c r="J2" s="90" t="s">
        <v>101</v>
      </c>
      <c r="K2" s="90" t="s">
        <v>18</v>
      </c>
      <c r="L2" s="90" t="s">
        <v>102</v>
      </c>
      <c r="M2" s="90" t="s">
        <v>19</v>
      </c>
      <c r="N2" s="90" t="s">
        <v>103</v>
      </c>
      <c r="O2" s="90" t="s">
        <v>106</v>
      </c>
      <c r="P2" s="90" t="s">
        <v>104</v>
      </c>
      <c r="Q2" s="90" t="s">
        <v>96</v>
      </c>
      <c r="R2" s="91"/>
      <c r="S2" s="91"/>
      <c r="T2" s="91"/>
      <c r="U2" s="91"/>
    </row>
    <row r="3" spans="1:21">
      <c r="A3" s="92" t="s">
        <v>22</v>
      </c>
      <c r="B3" s="93">
        <f>'Regular Season'!H18</f>
        <v>5</v>
      </c>
      <c r="C3" s="93">
        <f>'Regular Season'!H19</f>
        <v>5</v>
      </c>
      <c r="D3" s="122">
        <f>'Regular Season'!BX4</f>
        <v>0</v>
      </c>
      <c r="F3" s="92" t="s">
        <v>22</v>
      </c>
      <c r="G3" s="93">
        <f>'Regular Season'!BV30</f>
        <v>0.15064622373651382</v>
      </c>
      <c r="H3" s="94">
        <f>((B3*2)+D3)*1000000+(G3*1000)+(100-ROW())/1000</f>
        <v>10000150.743223736</v>
      </c>
      <c r="J3" s="93">
        <f>ROWS($J$3:J3)</f>
        <v>1</v>
      </c>
      <c r="K3" s="92" t="str">
        <f>INDEX($A$3:$A$12,MATCH(LARGE($H$3:$H$12,ROWS($J$3:J3)),$H$3:$H$12,0))</f>
        <v>SRH</v>
      </c>
      <c r="L3" s="93">
        <f t="array" ref="L3">INDEX($B$3:$B$12,MATCH(K3,$A$3:$A$12,0))
+INDEX($C$3:$C$12,MATCH(K3,$A$3:$A$12,0))</f>
        <v>11</v>
      </c>
      <c r="M3" s="93">
        <f t="array" ref="M3">INDEX($B$3:$B$12,MATCH(K3,$A$3:$A$12,0))</f>
        <v>7</v>
      </c>
      <c r="N3" s="93">
        <f t="array" ref="N3">INDEX($C$3:$C$12,MATCH(K3,$A$3:$A$12,0))</f>
        <v>4</v>
      </c>
      <c r="O3" s="93">
        <f t="array" ref="O3">INDEX($D$3:$D$12,MATCH(K3,$A$3:$A$12,0))</f>
        <v>0</v>
      </c>
      <c r="P3" s="93">
        <f t="array" ref="P3">INDEX($B$3:$B$12,MATCH(K3,$A$3:$A$12,0))*2+INDEX($D$3:$D$12,MATCH(K3,$A$3:$A$12,0))</f>
        <v>14</v>
      </c>
      <c r="Q3" s="120">
        <f t="shared" ref="Q3:Q12" si="0">VLOOKUP(K3,$F$3:$G$12,2,FALSE)</f>
        <v>0.73202664697094022</v>
      </c>
      <c r="R3" s="94"/>
      <c r="S3" s="94"/>
      <c r="T3" s="94"/>
      <c r="U3" s="94"/>
    </row>
    <row r="4" spans="1:21">
      <c r="A4" s="95" t="s">
        <v>27</v>
      </c>
      <c r="B4" s="93">
        <f>'Regular Season'!AQ18</f>
        <v>4</v>
      </c>
      <c r="C4" s="93">
        <f>'Regular Season'!AQ19</f>
        <v>6</v>
      </c>
      <c r="D4" s="122">
        <f>'Regular Season'!BX5</f>
        <v>0</v>
      </c>
      <c r="F4" s="95" t="s">
        <v>27</v>
      </c>
      <c r="G4" s="93">
        <f>'Regular Season'!BV31</f>
        <v>-0.94937385759697079</v>
      </c>
      <c r="H4" s="94">
        <f t="shared" ref="H4:H12" si="1">((B4*2)+D4)*1000000+(G4*1000)+(100-ROW())/1000</f>
        <v>7999050.722142403</v>
      </c>
      <c r="J4" s="93">
        <f>ROWS($J$3:J4)</f>
        <v>2</v>
      </c>
      <c r="K4" s="92" t="str">
        <f>INDEX($A$3:$A$12,MATCH(LARGE($H$3:$H$12,ROWS($J$3:J4)),$H$3:$H$12,0))</f>
        <v>PBKS</v>
      </c>
      <c r="L4" s="93">
        <f t="array" ref="L4">INDEX($B$3:$B$12,MATCH(K4,$A$3:$A$12,0))
+INDEX($C$3:$C$12,MATCH(K4,$A$3:$A$12,0))</f>
        <v>9</v>
      </c>
      <c r="M4" s="93">
        <f t="array" ref="M4">INDEX($B$3:$B$12,MATCH(K4,$A$3:$A$12,0))</f>
        <v>6</v>
      </c>
      <c r="N4" s="93">
        <f t="array" ref="N4">INDEX($C$3:$C$12,MATCH(K4,$A$3:$A$12,0))</f>
        <v>3</v>
      </c>
      <c r="O4" s="93">
        <f t="array" ref="O4">INDEX($D$3:$D$12,MATCH(K4,$A$3:$A$12,0))</f>
        <v>1</v>
      </c>
      <c r="P4" s="93">
        <f t="array" ref="P4">INDEX($B$3:$B$12,MATCH(K4,$A$3:$A$12,0))*2+INDEX($D$3:$D$12,MATCH(K4,$A$3:$A$12,0))</f>
        <v>13</v>
      </c>
      <c r="Q4" s="120">
        <f t="shared" si="0"/>
        <v>0.51837209302325604</v>
      </c>
      <c r="R4" s="94"/>
      <c r="S4" s="94"/>
      <c r="T4" s="94"/>
      <c r="U4" s="94"/>
    </row>
    <row r="5" spans="1:21">
      <c r="A5" s="92" t="s">
        <v>24</v>
      </c>
      <c r="B5" s="93">
        <f>'Regular Season'!V18</f>
        <v>6</v>
      </c>
      <c r="C5" s="93">
        <f>'Regular Season'!H19</f>
        <v>5</v>
      </c>
      <c r="D5" s="122">
        <f>'Regular Season'!BX6</f>
        <v>0</v>
      </c>
      <c r="F5" s="92" t="s">
        <v>24</v>
      </c>
      <c r="G5" s="93">
        <f>'Regular Season'!BV32</f>
        <v>-0.14685314685314665</v>
      </c>
      <c r="H5" s="94">
        <f t="shared" si="1"/>
        <v>11999853.241853148</v>
      </c>
      <c r="J5" s="93">
        <f>ROWS($J$3:J5)</f>
        <v>3</v>
      </c>
      <c r="K5" s="92" t="str">
        <f>INDEX($A$3:$A$12,MATCH(LARGE($H$3:$H$12,ROWS($J$3:J5)),$H$3:$H$12,0))</f>
        <v>RCB</v>
      </c>
      <c r="L5" s="93">
        <f t="array" ref="L5">INDEX($B$3:$B$12,MATCH(K5,$A$3:$A$12,0))
+INDEX($C$3:$C$12,MATCH(K5,$A$3:$A$12,0))</f>
        <v>10</v>
      </c>
      <c r="M5" s="93">
        <f t="array" ref="M5">INDEX($B$3:$B$12,MATCH(K5,$A$3:$A$12,0))</f>
        <v>6</v>
      </c>
      <c r="N5" s="93">
        <f t="array" ref="N5">INDEX($C$3:$C$12,MATCH(K5,$A$3:$A$12,0))</f>
        <v>4</v>
      </c>
      <c r="O5" s="93">
        <f t="array" ref="O5">INDEX($D$3:$D$12,MATCH(K5,$A$3:$A$12,0))</f>
        <v>0</v>
      </c>
      <c r="P5" s="93">
        <f t="array" ref="P5">INDEX($B$3:$B$12,MATCH(K5,$A$3:$A$12,0))*2+INDEX($D$3:$D$12,MATCH(K5,$A$3:$A$12,0))</f>
        <v>12</v>
      </c>
      <c r="Q5" s="120">
        <f t="shared" si="0"/>
        <v>1.2551368115388541</v>
      </c>
      <c r="R5" s="94"/>
      <c r="S5" s="94"/>
      <c r="T5" s="94"/>
      <c r="U5" s="94"/>
    </row>
    <row r="6" spans="1:21">
      <c r="A6" s="95" t="s">
        <v>30</v>
      </c>
      <c r="B6" s="93">
        <f>'Regular Season'!BL18</f>
        <v>3</v>
      </c>
      <c r="C6" s="93">
        <f>'Regular Season'!BL19</f>
        <v>5</v>
      </c>
      <c r="D6" s="122">
        <f>'Regular Season'!BX7</f>
        <v>1</v>
      </c>
      <c r="F6" s="95" t="s">
        <v>30</v>
      </c>
      <c r="G6" s="93">
        <f>'Regular Season'!BV33</f>
        <v>-0.86573882404756652</v>
      </c>
      <c r="H6" s="94">
        <f t="shared" si="1"/>
        <v>6999134.3551759524</v>
      </c>
      <c r="J6" s="93">
        <f>ROWS($J$3:J6)</f>
        <v>4</v>
      </c>
      <c r="K6" s="92" t="str">
        <f>INDEX($A$3:$A$12,MATCH(LARGE($H$3:$H$12,ROWS($J$3:J6)),$H$3:$H$12,0))</f>
        <v>RR</v>
      </c>
      <c r="L6" s="93">
        <f t="array" ref="L6">INDEX($B$3:$B$12,MATCH(K6,$A$3:$A$12,0))
+INDEX($C$3:$C$12,MATCH(K6,$A$3:$A$12,0))</f>
        <v>10</v>
      </c>
      <c r="M6" s="93">
        <f t="array" ref="M6">INDEX($B$3:$B$12,MATCH(K6,$A$3:$A$12,0))</f>
        <v>6</v>
      </c>
      <c r="N6" s="93">
        <f t="array" ref="N6">INDEX($C$3:$C$12,MATCH(K6,$A$3:$A$12,0))</f>
        <v>4</v>
      </c>
      <c r="O6" s="93">
        <f t="array" ref="O6">INDEX($D$3:$D$12,MATCH(K6,$A$3:$A$12,0))</f>
        <v>0</v>
      </c>
      <c r="P6" s="93">
        <f t="array" ref="P6">INDEX($B$3:$B$12,MATCH(K6,$A$3:$A$12,0))*2+INDEX($D$3:$D$12,MATCH(K6,$A$3:$A$12,0))</f>
        <v>12</v>
      </c>
      <c r="Q6" s="120">
        <f t="shared" si="0"/>
        <v>0.50987179172897434</v>
      </c>
      <c r="R6" s="94"/>
      <c r="S6" s="94"/>
      <c r="T6" s="94"/>
      <c r="U6" s="94"/>
    </row>
    <row r="7" spans="1:21">
      <c r="A7" s="92" t="s">
        <v>29</v>
      </c>
      <c r="B7" s="93">
        <f>'Regular Season'!BE18</f>
        <v>3</v>
      </c>
      <c r="C7" s="93">
        <f>'Regular Season'!BE19</f>
        <v>7</v>
      </c>
      <c r="D7" s="122">
        <f>'Regular Season'!BX8</f>
        <v>0</v>
      </c>
      <c r="F7" s="92" t="s">
        <v>29</v>
      </c>
      <c r="G7" s="93">
        <f>'Regular Season'!BV34</f>
        <v>-0.9179119066166308</v>
      </c>
      <c r="H7" s="94">
        <f t="shared" si="1"/>
        <v>5999082.1810933836</v>
      </c>
      <c r="J7" s="93">
        <f>ROWS($J$3:J7)</f>
        <v>5</v>
      </c>
      <c r="K7" s="92" t="str">
        <f>INDEX($A$3:$A$12,MATCH(LARGE($H$3:$H$12,ROWS($J$3:J7)),$H$3:$H$12,0))</f>
        <v>GT</v>
      </c>
      <c r="L7" s="93">
        <f t="array" ref="L7">INDEX($B$3:$B$12,MATCH(K7,$A$3:$A$12,0))
+INDEX($C$3:$C$12,MATCH(K7,$A$3:$A$12,0))</f>
        <v>11</v>
      </c>
      <c r="M7" s="93">
        <f t="array" ref="M7">INDEX($B$3:$B$12,MATCH(K7,$A$3:$A$12,0))</f>
        <v>6</v>
      </c>
      <c r="N7" s="93">
        <f t="array" ref="N7">INDEX($C$3:$C$12,MATCH(K7,$A$3:$A$12,0))</f>
        <v>5</v>
      </c>
      <c r="O7" s="93">
        <f t="array" ref="O7">INDEX($D$3:$D$12,MATCH(K7,$A$3:$A$12,0))</f>
        <v>0</v>
      </c>
      <c r="P7" s="93">
        <f t="array" ref="P7">INDEX($B$3:$B$12,MATCH(K7,$A$3:$A$12,0))*2+INDEX($D$3:$D$12,MATCH(K7,$A$3:$A$12,0))</f>
        <v>12</v>
      </c>
      <c r="Q7" s="120">
        <f t="shared" si="0"/>
        <v>-0.14685314685314665</v>
      </c>
      <c r="R7" s="94"/>
      <c r="S7" s="94"/>
      <c r="T7" s="94"/>
      <c r="U7" s="94"/>
    </row>
    <row r="8" spans="1:21">
      <c r="A8" s="95" t="s">
        <v>23</v>
      </c>
      <c r="B8" s="93">
        <f>'Regular Season'!O18</f>
        <v>3</v>
      </c>
      <c r="C8" s="93">
        <f>'Regular Season'!O19</f>
        <v>7</v>
      </c>
      <c r="D8" s="122">
        <f>'Regular Season'!BX9</f>
        <v>0</v>
      </c>
      <c r="F8" s="95" t="s">
        <v>23</v>
      </c>
      <c r="G8" s="93">
        <f>'Regular Season'!BV35</f>
        <v>-0.64867426761295732</v>
      </c>
      <c r="H8" s="94">
        <f t="shared" si="1"/>
        <v>5999351.4177323868</v>
      </c>
      <c r="J8" s="93">
        <f>ROWS($J$3:J8)</f>
        <v>6</v>
      </c>
      <c r="K8" s="92" t="str">
        <f>INDEX($A$3:$A$12,MATCH(LARGE($H$3:$H$12,ROWS($J$3:J8)),$H$3:$H$12,0))</f>
        <v>CSK</v>
      </c>
      <c r="L8" s="93">
        <f t="array" ref="L8">INDEX($B$3:$B$12,MATCH(K8,$A$3:$A$12,0))
+INDEX($C$3:$C$12,MATCH(K8,$A$3:$A$12,0))</f>
        <v>10</v>
      </c>
      <c r="M8" s="93">
        <f t="array" ref="M8">INDEX($B$3:$B$12,MATCH(K8,$A$3:$A$12,0))</f>
        <v>5</v>
      </c>
      <c r="N8" s="93">
        <f t="array" ref="N8">INDEX($C$3:$C$12,MATCH(K8,$A$3:$A$12,0))</f>
        <v>5</v>
      </c>
      <c r="O8" s="93">
        <f t="array" ref="O8">INDEX($D$3:$D$12,MATCH(K8,$A$3:$A$12,0))</f>
        <v>0</v>
      </c>
      <c r="P8" s="93">
        <f t="array" ref="P8">INDEX($B$3:$B$12,MATCH(K8,$A$3:$A$12,0))*2+INDEX($D$3:$D$12,MATCH(K8,$A$3:$A$12,0))</f>
        <v>10</v>
      </c>
      <c r="Q8" s="120">
        <f t="shared" si="0"/>
        <v>0.15064622373651382</v>
      </c>
      <c r="R8" s="94"/>
      <c r="S8" s="94"/>
      <c r="T8" s="94"/>
      <c r="U8" s="94"/>
    </row>
    <row r="9" spans="1:21">
      <c r="A9" s="92" t="s">
        <v>28</v>
      </c>
      <c r="B9" s="93">
        <f>'Regular Season'!AX18</f>
        <v>6</v>
      </c>
      <c r="C9" s="93">
        <f>'Regular Season'!AX19</f>
        <v>3</v>
      </c>
      <c r="D9" s="122">
        <f>'Regular Season'!BX10</f>
        <v>1</v>
      </c>
      <c r="F9" s="92" t="s">
        <v>28</v>
      </c>
      <c r="G9" s="93">
        <f>'Regular Season'!BV36</f>
        <v>0.51837209302325604</v>
      </c>
      <c r="H9" s="94">
        <f t="shared" si="1"/>
        <v>13000518.463093024</v>
      </c>
      <c r="J9" s="93">
        <f>ROWS($J$3:J9)</f>
        <v>7</v>
      </c>
      <c r="K9" s="92" t="str">
        <f>INDEX($A$3:$A$12,MATCH(LARGE($H$3:$H$12,ROWS($J$3:J9)),$H$3:$H$12,0))</f>
        <v>DC</v>
      </c>
      <c r="L9" s="93">
        <f t="array" ref="L9">INDEX($B$3:$B$12,MATCH(K9,$A$3:$A$12,0))
+INDEX($C$3:$C$12,MATCH(K9,$A$3:$A$12,0))</f>
        <v>10</v>
      </c>
      <c r="M9" s="93">
        <f t="array" ref="M9">INDEX($B$3:$B$12,MATCH(K9,$A$3:$A$12,0))</f>
        <v>4</v>
      </c>
      <c r="N9" s="93">
        <f t="array" ref="N9">INDEX($C$3:$C$12,MATCH(K9,$A$3:$A$12,0))</f>
        <v>6</v>
      </c>
      <c r="O9" s="93">
        <f t="array" ref="O9">INDEX($D$3:$D$12,MATCH(K9,$A$3:$A$12,0))</f>
        <v>0</v>
      </c>
      <c r="P9" s="93">
        <f t="array" ref="P9">INDEX($B$3:$B$12,MATCH(K9,$A$3:$A$12,0))*2+INDEX($D$3:$D$12,MATCH(K9,$A$3:$A$12,0))</f>
        <v>8</v>
      </c>
      <c r="Q9" s="120">
        <f t="shared" si="0"/>
        <v>-0.94937385759697079</v>
      </c>
      <c r="R9" s="94"/>
      <c r="S9" s="94"/>
      <c r="T9" s="94"/>
      <c r="U9" s="94"/>
    </row>
    <row r="10" spans="1:21">
      <c r="A10" s="95" t="s">
        <v>26</v>
      </c>
      <c r="B10" s="93">
        <f>'Regular Season'!AJ18</f>
        <v>6</v>
      </c>
      <c r="C10" s="93">
        <f>'Regular Season'!AJ19</f>
        <v>4</v>
      </c>
      <c r="D10" s="122">
        <f>'Regular Season'!BX11</f>
        <v>0</v>
      </c>
      <c r="F10" s="95" t="s">
        <v>26</v>
      </c>
      <c r="G10" s="93">
        <f>'Regular Season'!BV37</f>
        <v>0.50987179172897434</v>
      </c>
      <c r="H10" s="94">
        <f t="shared" si="1"/>
        <v>12000509.96179173</v>
      </c>
      <c r="J10" s="93">
        <f>ROWS($J$3:J10)</f>
        <v>8</v>
      </c>
      <c r="K10" s="92" t="str">
        <f>INDEX($A$3:$A$12,MATCH(LARGE($H$3:$H$12,ROWS($J$3:J10)),$H$3:$H$12,0))</f>
        <v>KKR</v>
      </c>
      <c r="L10" s="93">
        <f t="array" ref="L10">INDEX($B$3:$B$12,MATCH(K10,$A$3:$A$12,0))
+INDEX($C$3:$C$12,MATCH(K10,$A$3:$A$12,0))</f>
        <v>8</v>
      </c>
      <c r="M10" s="93">
        <f t="array" ref="M10">INDEX($B$3:$B$12,MATCH(K10,$A$3:$A$12,0))</f>
        <v>3</v>
      </c>
      <c r="N10" s="93">
        <f t="array" ref="N10">INDEX($C$3:$C$12,MATCH(K10,$A$3:$A$12,0))</f>
        <v>5</v>
      </c>
      <c r="O10" s="93">
        <f t="array" ref="O10">INDEX($D$3:$D$12,MATCH(K10,$A$3:$A$12,0))</f>
        <v>1</v>
      </c>
      <c r="P10" s="93">
        <f t="array" ref="P10">INDEX($B$3:$B$12,MATCH(K10,$A$3:$A$12,0))*2+INDEX($D$3:$D$12,MATCH(K10,$A$3:$A$12,0))</f>
        <v>7</v>
      </c>
      <c r="Q10" s="120">
        <f t="shared" si="0"/>
        <v>-0.86573882404756652</v>
      </c>
      <c r="R10" s="94"/>
      <c r="S10" s="94"/>
      <c r="T10" s="94"/>
      <c r="U10" s="94"/>
    </row>
    <row r="11" spans="1:21">
      <c r="A11" s="92" t="s">
        <v>25</v>
      </c>
      <c r="B11" s="93">
        <f>'Regular Season'!AC18</f>
        <v>6</v>
      </c>
      <c r="C11" s="93">
        <f>'Regular Season'!AC19</f>
        <v>4</v>
      </c>
      <c r="D11" s="122">
        <f>'Regular Season'!BX12</f>
        <v>0</v>
      </c>
      <c r="F11" s="92" t="s">
        <v>25</v>
      </c>
      <c r="G11" s="93">
        <f>'Regular Season'!BV38</f>
        <v>1.2551368115388541</v>
      </c>
      <c r="H11" s="94">
        <f t="shared" si="1"/>
        <v>12001255.225811539</v>
      </c>
      <c r="J11" s="93">
        <f>ROWS($J$3:J11)</f>
        <v>9</v>
      </c>
      <c r="K11" s="92" t="str">
        <f>INDEX($A$3:$A$12,MATCH(LARGE($H$3:$H$12,ROWS($J$3:J11)),$H$3:$H$12,0))</f>
        <v>MI</v>
      </c>
      <c r="L11" s="93">
        <f t="array" ref="L11">INDEX($B$3:$B$12,MATCH(K11,$A$3:$A$12,0))
+INDEX($C$3:$C$12,MATCH(K11,$A$3:$A$12,0))</f>
        <v>10</v>
      </c>
      <c r="M11" s="93">
        <f t="array" ref="M11">INDEX($B$3:$B$12,MATCH(K11,$A$3:$A$12,0))</f>
        <v>3</v>
      </c>
      <c r="N11" s="93">
        <f t="array" ref="N11">INDEX($C$3:$C$12,MATCH(K11,$A$3:$A$12,0))</f>
        <v>7</v>
      </c>
      <c r="O11" s="93">
        <f t="array" ref="O11">INDEX($D$3:$D$12,MATCH(K11,$A$3:$A$12,0))</f>
        <v>0</v>
      </c>
      <c r="P11" s="93">
        <f t="array" ref="P11">INDEX($B$3:$B$12,MATCH(K11,$A$3:$A$12,0))*2+INDEX($D$3:$D$12,MATCH(K11,$A$3:$A$12,0))</f>
        <v>6</v>
      </c>
      <c r="Q11" s="120">
        <f t="shared" si="0"/>
        <v>-0.64867426761295732</v>
      </c>
      <c r="R11" s="94"/>
      <c r="S11" s="94"/>
      <c r="T11" s="94"/>
      <c r="U11" s="94"/>
    </row>
    <row r="12" spans="1:21">
      <c r="A12" s="95" t="s">
        <v>31</v>
      </c>
      <c r="B12" s="93">
        <f>'Regular Season'!BS18</f>
        <v>7</v>
      </c>
      <c r="C12" s="93">
        <f>'Regular Season'!BS19</f>
        <v>4</v>
      </c>
      <c r="D12" s="122">
        <f>'Regular Season'!BX13</f>
        <v>0</v>
      </c>
      <c r="F12" s="95" t="s">
        <v>31</v>
      </c>
      <c r="G12" s="93">
        <f>'Regular Season'!BV39</f>
        <v>0.73202664697094022</v>
      </c>
      <c r="H12" s="94">
        <f t="shared" si="1"/>
        <v>14000732.114646971</v>
      </c>
      <c r="J12" s="93">
        <f>ROWS($J$3:J12)</f>
        <v>10</v>
      </c>
      <c r="K12" s="92" t="str">
        <f>INDEX($A$3:$A$12,MATCH(LARGE($H$3:$H$12,ROWS($J$3:J12)),$H$3:$H$12,0))</f>
        <v>LSG</v>
      </c>
      <c r="L12" s="93">
        <f t="array" ref="L12">INDEX($B$3:$B$12,MATCH(K12,$A$3:$A$12,0))
+INDEX($C$3:$C$12,MATCH(K12,$A$3:$A$12,0))</f>
        <v>10</v>
      </c>
      <c r="M12" s="93">
        <f t="array" ref="M12">INDEX($B$3:$B$12,MATCH(K12,$A$3:$A$12,0))</f>
        <v>3</v>
      </c>
      <c r="N12" s="93">
        <f t="array" ref="N12">INDEX($C$3:$C$12,MATCH(K12,$A$3:$A$12,0))</f>
        <v>7</v>
      </c>
      <c r="O12" s="93">
        <f t="array" ref="O12">INDEX($D$3:$D$12,MATCH(K12,$A$3:$A$12,0))</f>
        <v>0</v>
      </c>
      <c r="P12" s="93">
        <f t="array" ref="P12">INDEX($B$3:$B$12,MATCH(K12,$A$3:$A$12,0))*2+INDEX($D$3:$D$12,MATCH(K12,$A$3:$A$12,0))</f>
        <v>6</v>
      </c>
      <c r="Q12" s="120">
        <f t="shared" si="0"/>
        <v>-0.9179119066166308</v>
      </c>
      <c r="R12" s="94"/>
      <c r="S12" s="94"/>
      <c r="T12" s="94"/>
      <c r="U12" s="94"/>
    </row>
    <row r="15" spans="1:21">
      <c r="A15" s="96"/>
      <c r="B15" s="96"/>
      <c r="C15" s="96"/>
      <c r="D15" s="96"/>
      <c r="E15" s="96"/>
      <c r="F15" s="204" t="s">
        <v>111</v>
      </c>
      <c r="G15" s="204"/>
      <c r="H15" s="121"/>
      <c r="I15" s="96"/>
      <c r="J15" s="96"/>
      <c r="K15" s="96"/>
      <c r="L15" s="96"/>
    </row>
    <row r="16" spans="1:21">
      <c r="A16" s="96"/>
      <c r="B16" s="97"/>
      <c r="C16" s="97"/>
      <c r="D16" s="97"/>
      <c r="E16" s="97"/>
      <c r="F16" s="89" t="s">
        <v>18</v>
      </c>
      <c r="G16" s="89" t="s">
        <v>112</v>
      </c>
      <c r="H16" s="88"/>
      <c r="I16" s="97"/>
      <c r="J16" s="97"/>
      <c r="K16" s="97"/>
      <c r="L16" s="97"/>
    </row>
    <row r="17" spans="1:12">
      <c r="A17" s="96"/>
      <c r="B17" s="97"/>
      <c r="C17" s="97"/>
      <c r="D17" s="97"/>
      <c r="E17" s="97"/>
      <c r="F17" s="92" t="s">
        <v>22</v>
      </c>
      <c r="G17" s="93">
        <f>'Regular Season'!G18</f>
        <v>47</v>
      </c>
      <c r="H17" s="94"/>
      <c r="I17" s="97"/>
      <c r="J17" s="97"/>
      <c r="K17" s="97"/>
      <c r="L17" s="97"/>
    </row>
    <row r="18" spans="1:12">
      <c r="A18" s="96"/>
      <c r="B18" s="97"/>
      <c r="C18" s="97"/>
      <c r="D18" s="97"/>
      <c r="E18" s="97"/>
      <c r="F18" s="95" t="s">
        <v>27</v>
      </c>
      <c r="G18" s="93">
        <f>'Regular Season'!AP18</f>
        <v>58</v>
      </c>
      <c r="H18" s="94"/>
      <c r="I18" s="97"/>
      <c r="J18" s="97"/>
      <c r="K18" s="97"/>
      <c r="L18" s="97"/>
    </row>
    <row r="19" spans="1:12">
      <c r="A19" s="96"/>
      <c r="B19" s="97"/>
      <c r="C19" s="97"/>
      <c r="D19" s="97"/>
      <c r="E19" s="97"/>
      <c r="F19" s="92" t="s">
        <v>24</v>
      </c>
      <c r="G19" s="93">
        <f>'Regular Season'!U18</f>
        <v>59</v>
      </c>
      <c r="H19" s="94"/>
      <c r="I19" s="97"/>
      <c r="J19" s="97"/>
      <c r="K19" s="97"/>
      <c r="L19" s="97"/>
    </row>
    <row r="20" spans="1:12">
      <c r="A20" s="96"/>
      <c r="B20" s="97"/>
      <c r="C20" s="97"/>
      <c r="D20" s="97"/>
      <c r="E20" s="97"/>
      <c r="F20" s="95" t="s">
        <v>30</v>
      </c>
      <c r="G20" s="93">
        <f>'Regular Season'!BK18</f>
        <v>54</v>
      </c>
      <c r="H20" s="94"/>
      <c r="I20" s="97"/>
      <c r="J20" s="97"/>
      <c r="K20" s="97"/>
      <c r="L20" s="97"/>
    </row>
    <row r="21" spans="1:12">
      <c r="A21" s="96"/>
      <c r="B21" s="97"/>
      <c r="C21" s="97"/>
      <c r="D21" s="97"/>
      <c r="E21" s="97"/>
      <c r="F21" s="92" t="s">
        <v>29</v>
      </c>
      <c r="G21" s="93">
        <f>'Regular Season'!BD18</f>
        <v>56</v>
      </c>
      <c r="H21" s="94"/>
      <c r="I21" s="97"/>
      <c r="J21" s="97"/>
      <c r="K21" s="97"/>
      <c r="L21" s="97"/>
    </row>
    <row r="22" spans="1:12">
      <c r="A22" s="96"/>
      <c r="B22" s="97"/>
      <c r="C22" s="97"/>
      <c r="D22" s="97"/>
      <c r="E22" s="97"/>
      <c r="F22" s="95" t="s">
        <v>23</v>
      </c>
      <c r="G22" s="93">
        <f>'Regular Season'!N18</f>
        <v>78</v>
      </c>
      <c r="H22" s="94"/>
      <c r="I22" s="97"/>
      <c r="J22" s="97"/>
      <c r="K22" s="97"/>
      <c r="L22" s="97"/>
    </row>
    <row r="23" spans="1:12">
      <c r="A23" s="96"/>
      <c r="B23" s="97"/>
      <c r="C23" s="97"/>
      <c r="D23" s="97"/>
      <c r="E23" s="97"/>
      <c r="F23" s="92" t="s">
        <v>28</v>
      </c>
      <c r="G23" s="93">
        <f>'Regular Season'!AW18</f>
        <v>68</v>
      </c>
      <c r="H23" s="94"/>
      <c r="I23" s="97"/>
      <c r="J23" s="97"/>
      <c r="K23" s="97"/>
      <c r="L23" s="97"/>
    </row>
    <row r="24" spans="1:12">
      <c r="A24" s="96"/>
      <c r="B24" s="97"/>
      <c r="C24" s="97"/>
      <c r="D24" s="97"/>
      <c r="E24" s="97"/>
      <c r="F24" s="95" t="s">
        <v>26</v>
      </c>
      <c r="G24" s="93">
        <f>'Regular Season'!AI18</f>
        <v>71</v>
      </c>
      <c r="H24" s="94"/>
      <c r="I24" s="97"/>
      <c r="J24" s="97"/>
      <c r="K24" s="97"/>
      <c r="L24" s="97"/>
    </row>
    <row r="25" spans="1:12">
      <c r="A25" s="96"/>
      <c r="B25" s="97"/>
      <c r="C25" s="97"/>
      <c r="D25" s="97"/>
      <c r="E25" s="97"/>
      <c r="F25" s="92" t="s">
        <v>25</v>
      </c>
      <c r="G25" s="93">
        <f>'Regular Season'!AB18</f>
        <v>44</v>
      </c>
      <c r="H25" s="94"/>
      <c r="I25" s="97"/>
      <c r="J25" s="97"/>
      <c r="K25" s="97"/>
      <c r="L25" s="97"/>
    </row>
    <row r="26" spans="1:12">
      <c r="A26" s="96"/>
      <c r="B26" s="97"/>
      <c r="C26" s="97"/>
      <c r="D26" s="97"/>
      <c r="E26" s="97"/>
      <c r="F26" s="95" t="s">
        <v>31</v>
      </c>
      <c r="G26" s="93">
        <f>'Regular Season'!BR18</f>
        <v>87</v>
      </c>
      <c r="H26" s="94"/>
      <c r="I26" s="97"/>
      <c r="J26" s="97"/>
      <c r="K26" s="97"/>
      <c r="L26" s="97"/>
    </row>
    <row r="27" spans="1:12">
      <c r="A27" s="96"/>
      <c r="B27" s="97"/>
      <c r="C27" s="97"/>
      <c r="D27" s="97"/>
      <c r="E27" s="97"/>
      <c r="F27" s="97"/>
      <c r="G27" s="97"/>
      <c r="H27" s="97"/>
      <c r="I27" s="97"/>
      <c r="J27" s="97"/>
      <c r="K27" s="97"/>
      <c r="L27" s="97"/>
    </row>
    <row r="28" spans="1:12">
      <c r="A28" s="96"/>
      <c r="B28" s="97"/>
      <c r="C28" s="97"/>
      <c r="D28" s="97"/>
      <c r="E28" s="97"/>
      <c r="F28" s="97"/>
      <c r="G28" s="97"/>
      <c r="H28" s="97"/>
      <c r="I28" s="97"/>
      <c r="J28" s="97"/>
      <c r="K28" s="97"/>
      <c r="L28" s="97"/>
    </row>
    <row r="29" spans="1:12">
      <c r="A29" s="96"/>
      <c r="B29" s="97"/>
      <c r="C29" s="97"/>
      <c r="D29" s="97"/>
      <c r="E29" s="97"/>
      <c r="F29" s="97"/>
      <c r="G29" s="97"/>
      <c r="H29" s="97"/>
      <c r="I29" s="97"/>
      <c r="J29" s="97"/>
      <c r="K29" s="97"/>
      <c r="L29" s="97"/>
    </row>
  </sheetData>
  <autoFilter ref="J2:Q12" xr:uid="{CA6535BB-1766-4151-9304-D4FB50A5FAF4}">
    <sortState ref="J3:Q12">
      <sortCondition descending="1" ref="P3:P12"/>
    </sortState>
  </autoFilter>
  <sortState ref="P3:P12">
    <sortCondition descending="1" ref="P2"/>
  </sortState>
  <mergeCells count="4">
    <mergeCell ref="F1:G1"/>
    <mergeCell ref="J1:Q1"/>
    <mergeCell ref="A1:D1"/>
    <mergeCell ref="F15:G15"/>
  </mergeCells>
  <conditionalFormatting sqref="S3:S12">
    <cfRule type="expression" dxfId="3" priority="4">
      <formula>LEFT(S3,1)="→"</formula>
    </cfRule>
    <cfRule type="expression" dxfId="2" priority="5">
      <formula>LEFT(S3,1)="↓"</formula>
    </cfRule>
    <cfRule type="expression" dxfId="1" priority="6">
      <formula>LEFT(S3,1)="↑"</formula>
    </cfRule>
  </conditionalFormatting>
  <conditionalFormatting sqref="J3:Q12">
    <cfRule type="expression" dxfId="0" priority="2">
      <formula>$J3&lt;=4</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PitchSmart</vt:lpstr>
      <vt:lpstr>Regular Season</vt:lpstr>
      <vt:lpstr>Analytics</vt:lpstr>
      <vt:lpstr>Dashboard</vt:lpstr>
      <vt:lpstr>Visualization</vt:lpstr>
      <vt:lpstr>Tables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 Shah</dc:creator>
  <cp:lastModifiedBy>Administrator</cp:lastModifiedBy>
  <dcterms:created xsi:type="dcterms:W3CDTF">2023-04-20T02:59:30Z</dcterms:created>
  <dcterms:modified xsi:type="dcterms:W3CDTF">2026-05-07T23:29:53Z</dcterms:modified>
</cp:coreProperties>
</file>